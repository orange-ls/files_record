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392BD563-3A60-49BA-A7F9-671498A45AFD}" xr6:coauthVersionLast="47" xr6:coauthVersionMax="47" xr10:uidLastSave="{00000000-0000-0000-0000-000000000000}"/>
  <bookViews>
    <workbookView xWindow="-110" yWindow="-110" windowWidth="19420" windowHeight="10420" xr2:uid="{00000000-000D-0000-FFFF-FFFF00000000}"/>
  </bookViews>
  <sheets>
    <sheet name="BCM功能增加" sheetId="6" r:id="rId1"/>
    <sheet name="质量KPI字典" sheetId="4" r:id="rId2"/>
    <sheet name="平衡计分法"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5" l="1"/>
  <c r="G10" i="5"/>
  <c r="F10" i="5"/>
</calcChain>
</file>

<file path=xl/sharedStrings.xml><?xml version="1.0" encoding="utf-8"?>
<sst xmlns="http://schemas.openxmlformats.org/spreadsheetml/2006/main" count="173" uniqueCount="126">
  <si>
    <t>需求一</t>
  </si>
  <si>
    <r>
      <rPr>
        <sz val="10"/>
        <color theme="1"/>
        <rFont val="等线"/>
        <charset val="134"/>
        <scheme val="minor"/>
      </rPr>
      <t>2021年交付</t>
    </r>
    <r>
      <rPr>
        <b/>
        <sz val="10"/>
        <color theme="1"/>
        <rFont val="等线"/>
        <charset val="134"/>
        <scheme val="minor"/>
      </rPr>
      <t>1年RMA率</t>
    </r>
    <r>
      <rPr>
        <sz val="10"/>
        <color theme="1"/>
        <rFont val="等线"/>
        <charset val="134"/>
        <scheme val="minor"/>
      </rPr>
      <t>=2021年</t>
    </r>
    <r>
      <rPr>
        <sz val="10"/>
        <color rgb="FFFF0000"/>
        <rFont val="等线"/>
        <charset val="134"/>
        <scheme val="minor"/>
      </rPr>
      <t>出货</t>
    </r>
    <r>
      <rPr>
        <b/>
        <sz val="10"/>
        <color rgb="FFFF0000"/>
        <rFont val="等线"/>
        <charset val="134"/>
        <scheme val="minor"/>
      </rPr>
      <t>12个月内</t>
    </r>
    <r>
      <rPr>
        <sz val="10"/>
        <color rgb="FFFF0000"/>
        <rFont val="等线"/>
        <charset val="134"/>
        <scheme val="minor"/>
      </rPr>
      <t>发生故障整机数</t>
    </r>
    <r>
      <rPr>
        <sz val="10"/>
        <color theme="1"/>
        <rFont val="等线"/>
        <charset val="134"/>
        <scheme val="minor"/>
      </rPr>
      <t>/2021年出货交付总数
2021年交付</t>
    </r>
    <r>
      <rPr>
        <b/>
        <sz val="10"/>
        <color theme="1"/>
        <rFont val="等线"/>
        <charset val="134"/>
        <scheme val="minor"/>
      </rPr>
      <t>2年RMA率</t>
    </r>
    <r>
      <rPr>
        <sz val="10"/>
        <color theme="1"/>
        <rFont val="等线"/>
        <charset val="134"/>
        <scheme val="minor"/>
      </rPr>
      <t>=2021年出货</t>
    </r>
    <r>
      <rPr>
        <b/>
        <sz val="10"/>
        <color theme="1"/>
        <rFont val="等线"/>
        <charset val="134"/>
        <scheme val="minor"/>
      </rPr>
      <t>24个月内</t>
    </r>
    <r>
      <rPr>
        <sz val="10"/>
        <color theme="1"/>
        <rFont val="等线"/>
        <charset val="134"/>
        <scheme val="minor"/>
      </rPr>
      <t xml:space="preserve">发生故障整机数/2021年交付总数
··········
定义
</t>
    </r>
    <r>
      <rPr>
        <sz val="10"/>
        <rFont val="等线"/>
        <charset val="134"/>
        <scheme val="minor"/>
      </rPr>
      <t>2021年出货12个月内发生故障整机数：RMA清单中服务时间-90天=2021年前提下，整机</t>
    </r>
    <r>
      <rPr>
        <sz val="10"/>
        <color theme="1"/>
        <rFont val="等线"/>
        <charset val="134"/>
        <scheme val="minor"/>
      </rPr>
      <t>报修时间-（</t>
    </r>
    <r>
      <rPr>
        <sz val="10"/>
        <rFont val="等线"/>
        <charset val="134"/>
        <scheme val="minor"/>
      </rPr>
      <t>服务开始时间往前推90天）＜12个月</t>
    </r>
    <r>
      <rPr>
        <sz val="10"/>
        <color rgb="FFFF0000"/>
        <rFont val="等线"/>
        <charset val="134"/>
        <scheme val="minor"/>
      </rPr>
      <t xml:space="preserve">
</t>
    </r>
    <r>
      <rPr>
        <sz val="10"/>
        <rFont val="等线"/>
        <charset val="134"/>
        <scheme val="minor"/>
      </rPr>
      <t>2021年出货交付总数：来源存量表中2021年交付总台数</t>
    </r>
    <r>
      <rPr>
        <sz val="10"/>
        <color theme="1"/>
        <rFont val="等线"/>
        <charset val="134"/>
        <scheme val="minor"/>
      </rPr>
      <t xml:space="preserve">
备注1：整机SN需要去重，不重复计算
备注2：分成以下四大类体现
备注3：服务开始时间=交付时间+90天</t>
    </r>
  </si>
  <si>
    <t>类别</t>
  </si>
  <si>
    <t>交付年</t>
  </si>
  <si>
    <t>1年RMA率</t>
  </si>
  <si>
    <t>2年RMA率</t>
  </si>
  <si>
    <t>3年RMA率</t>
  </si>
  <si>
    <t>4年RMA率</t>
  </si>
  <si>
    <t>5年RMA率</t>
  </si>
  <si>
    <t>服务器</t>
  </si>
  <si>
    <t>数据体现样式</t>
  </si>
  <si>
    <t>指定时间区间</t>
  </si>
  <si>
    <t>笔记本+笔记本适配器</t>
  </si>
  <si>
    <t>需求二</t>
  </si>
  <si>
    <r>
      <rPr>
        <b/>
        <sz val="9"/>
        <color theme="1"/>
        <rFont val="微软雅黑"/>
        <charset val="134"/>
      </rPr>
      <t>序列</t>
    </r>
  </si>
  <si>
    <r>
      <rPr>
        <b/>
        <sz val="9"/>
        <color theme="1"/>
        <rFont val="微软雅黑"/>
        <charset val="134"/>
      </rPr>
      <t>分类</t>
    </r>
  </si>
  <si>
    <r>
      <rPr>
        <b/>
        <sz val="9"/>
        <color theme="1"/>
        <rFont val="微软雅黑"/>
        <charset val="134"/>
      </rPr>
      <t>确定统计的</t>
    </r>
    <r>
      <rPr>
        <b/>
        <sz val="9"/>
        <color theme="1"/>
        <rFont val="Arial"/>
        <family val="2"/>
      </rPr>
      <t>KPI</t>
    </r>
  </si>
  <si>
    <r>
      <rPr>
        <b/>
        <sz val="9"/>
        <color theme="1"/>
        <rFont val="微软雅黑"/>
        <charset val="134"/>
      </rPr>
      <t>指标定义</t>
    </r>
  </si>
  <si>
    <r>
      <rPr>
        <b/>
        <sz val="9"/>
        <color theme="1"/>
        <rFont val="微软雅黑"/>
        <charset val="134"/>
      </rPr>
      <t>目标</t>
    </r>
  </si>
  <si>
    <r>
      <rPr>
        <b/>
        <sz val="9"/>
        <color theme="1"/>
        <rFont val="微软雅黑"/>
        <charset val="134"/>
      </rPr>
      <t>计算方式</t>
    </r>
  </si>
  <si>
    <r>
      <rPr>
        <b/>
        <sz val="9"/>
        <color theme="1"/>
        <rFont val="微软雅黑"/>
        <charset val="134"/>
      </rPr>
      <t>设置目的</t>
    </r>
  </si>
  <si>
    <t>产品部</t>
  </si>
  <si>
    <t>研发部</t>
  </si>
  <si>
    <t>供应链部</t>
  </si>
  <si>
    <t>计划</t>
  </si>
  <si>
    <t>采购</t>
  </si>
  <si>
    <t>工厂</t>
  </si>
  <si>
    <t>质量</t>
  </si>
  <si>
    <t>运营</t>
  </si>
  <si>
    <t>服务部</t>
  </si>
  <si>
    <r>
      <rPr>
        <sz val="9"/>
        <color theme="1"/>
        <rFont val="微软雅黑"/>
        <charset val="134"/>
      </rPr>
      <t>客户端</t>
    </r>
  </si>
  <si>
    <t>重大或批次质量事故</t>
  </si>
  <si>
    <r>
      <rPr>
        <sz val="9"/>
        <color theme="1"/>
        <rFont val="微软雅黑"/>
        <charset val="134"/>
      </rPr>
      <t>产品客户侧运行过程中，发生的产品质量类事故个数，批次性质量事故：同一产品相同的</t>
    </r>
    <r>
      <rPr>
        <sz val="9"/>
        <color theme="1"/>
        <rFont val="Arial"/>
        <family val="2"/>
      </rPr>
      <t>DOA</t>
    </r>
    <r>
      <rPr>
        <sz val="9"/>
        <color theme="1"/>
        <rFont val="微软雅黑"/>
        <charset val="134"/>
      </rPr>
      <t>现象达到</t>
    </r>
    <r>
      <rPr>
        <sz val="9"/>
        <color theme="1"/>
        <rFont val="Arial"/>
        <family val="2"/>
      </rPr>
      <t>10</t>
    </r>
    <r>
      <rPr>
        <sz val="9"/>
        <color theme="1"/>
        <rFont val="微软雅黑"/>
        <charset val="134"/>
      </rPr>
      <t>台或比率大于2%（</t>
    </r>
    <r>
      <rPr>
        <sz val="9"/>
        <color rgb="FFFF0000"/>
        <rFont val="微软雅黑"/>
        <charset val="134"/>
      </rPr>
      <t>以最大值为准）</t>
    </r>
    <r>
      <rPr>
        <sz val="9"/>
        <color theme="1"/>
        <rFont val="微软雅黑"/>
        <charset val="134"/>
      </rPr>
      <t>，必须通过大批量更换硬件或软件升级、换货来解决问题的。</t>
    </r>
  </si>
  <si>
    <t>指标计算：客户端发生的产品质量类事故个数</t>
  </si>
  <si>
    <r>
      <rPr>
        <sz val="9"/>
        <color theme="1"/>
        <rFont val="微软雅黑"/>
        <charset val="134"/>
      </rPr>
      <t>评估交付给客户的产品的质量状况；减少因为大量时效带来的损失成本，以及可能丢掉订单，以及客户处罚的影响。</t>
    </r>
  </si>
  <si>
    <t>√</t>
  </si>
  <si>
    <r>
      <rPr>
        <sz val="9"/>
        <color theme="1"/>
        <rFont val="Arial"/>
        <family val="2"/>
      </rPr>
      <t>DOA</t>
    </r>
    <r>
      <rPr>
        <sz val="9"/>
        <color theme="1"/>
        <rFont val="微软雅黑"/>
        <charset val="134"/>
      </rPr>
      <t>率</t>
    </r>
  </si>
  <si>
    <r>
      <rPr>
        <sz val="9"/>
        <color theme="1"/>
        <rFont val="Arial"/>
        <family val="2"/>
      </rPr>
      <t xml:space="preserve">Dead on Arrival  </t>
    </r>
    <r>
      <rPr>
        <sz val="9"/>
        <color theme="1"/>
        <rFont val="微软雅黑"/>
        <charset val="134"/>
      </rPr>
      <t>开箱故障、到货即损，指单板或模块从公司发货时起到站点初验期间，发生因</t>
    </r>
    <r>
      <rPr>
        <sz val="9"/>
        <color theme="1"/>
        <rFont val="Arial"/>
        <family val="2"/>
      </rPr>
      <t>“</t>
    </r>
    <r>
      <rPr>
        <sz val="9"/>
        <color theme="1"/>
        <rFont val="微软雅黑"/>
        <charset val="134"/>
      </rPr>
      <t>开局坏件</t>
    </r>
    <r>
      <rPr>
        <sz val="9"/>
        <color theme="1"/>
        <rFont val="Arial"/>
        <family val="2"/>
      </rPr>
      <t>”</t>
    </r>
    <r>
      <rPr>
        <sz val="9"/>
        <color theme="1"/>
        <rFont val="微软雅黑"/>
        <charset val="134"/>
      </rPr>
      <t>原因返回的故障单板和模块数，占其对应发货时间段内的单板和模块发货总数的比例。</t>
    </r>
  </si>
  <si>
    <r>
      <rPr>
        <sz val="9"/>
        <color theme="1"/>
        <rFont val="微软雅黑"/>
        <charset val="134"/>
      </rPr>
      <t>≤</t>
    </r>
    <r>
      <rPr>
        <sz val="9"/>
        <color theme="1"/>
        <rFont val="Arial"/>
        <family val="2"/>
      </rPr>
      <t>0.1%</t>
    </r>
  </si>
  <si>
    <r>
      <rPr>
        <sz val="9"/>
        <color theme="1"/>
        <rFont val="微软雅黑"/>
        <charset val="134"/>
      </rPr>
      <t>产品</t>
    </r>
    <r>
      <rPr>
        <sz val="9"/>
        <color theme="1"/>
        <rFont val="Arial"/>
        <family val="2"/>
      </rPr>
      <t>DOA</t>
    </r>
    <r>
      <rPr>
        <sz val="9"/>
        <color theme="1"/>
        <rFont val="微软雅黑"/>
        <charset val="134"/>
      </rPr>
      <t>计算公式：</t>
    </r>
    <r>
      <rPr>
        <sz val="9"/>
        <color theme="1"/>
        <rFont val="Arial"/>
        <family val="2"/>
      </rPr>
      <t>DOA</t>
    </r>
    <r>
      <rPr>
        <sz val="9"/>
        <color theme="1"/>
        <rFont val="微软雅黑"/>
        <charset val="134"/>
      </rPr>
      <t>率</t>
    </r>
    <r>
      <rPr>
        <sz val="9"/>
        <color theme="1"/>
        <rFont val="Arial"/>
        <family val="2"/>
      </rPr>
      <t>=(</t>
    </r>
    <r>
      <rPr>
        <sz val="9"/>
        <color theme="1"/>
        <rFont val="微软雅黑"/>
        <charset val="134"/>
      </rPr>
      <t>当月累计坏件数</t>
    </r>
    <r>
      <rPr>
        <sz val="9"/>
        <color theme="1"/>
        <rFont val="Arial"/>
        <family val="2"/>
      </rPr>
      <t>)/</t>
    </r>
    <r>
      <rPr>
        <sz val="9"/>
        <color theme="1"/>
        <rFont val="微软雅黑"/>
        <charset val="134"/>
      </rPr>
      <t>当月开单数（复判为坏件）</t>
    </r>
  </si>
  <si>
    <r>
      <rPr>
        <sz val="9"/>
        <color theme="1"/>
        <rFont val="微软雅黑"/>
        <charset val="134"/>
      </rPr>
      <t>衡量产品从发货后到初验前不成功的比率。牵引对开局坏件的故障原因分析，促进单板</t>
    </r>
    <r>
      <rPr>
        <sz val="9"/>
        <color theme="1"/>
        <rFont val="Arial"/>
        <family val="2"/>
      </rPr>
      <t>/</t>
    </r>
    <r>
      <rPr>
        <sz val="9"/>
        <color theme="1"/>
        <rFont val="微软雅黑"/>
        <charset val="134"/>
      </rPr>
      <t>模块测试装备、运输条件、开局操作规范性、器件早期失效分析等各环节工作的不断改进。</t>
    </r>
  </si>
  <si>
    <r>
      <rPr>
        <sz val="9"/>
        <color theme="1"/>
        <rFont val="微软雅黑"/>
        <charset val="134"/>
      </rPr>
      <t>整机</t>
    </r>
    <r>
      <rPr>
        <sz val="9"/>
        <color theme="1"/>
        <rFont val="Arial"/>
        <family val="2"/>
      </rPr>
      <t>AFR</t>
    </r>
  </si>
  <si>
    <r>
      <rPr>
        <sz val="9"/>
        <color theme="1"/>
        <rFont val="微软雅黑"/>
        <charset val="134"/>
      </rPr>
      <t>整机年不良率，即保修期内发生故障的整机总量占其在保量的比例</t>
    </r>
    <r>
      <rPr>
        <sz val="9"/>
        <color theme="1"/>
        <rFont val="Arial"/>
        <family val="2"/>
      </rPr>
      <t>(</t>
    </r>
    <r>
      <rPr>
        <sz val="9"/>
        <color theme="1"/>
        <rFont val="微软雅黑"/>
        <charset val="134"/>
      </rPr>
      <t>年化值</t>
    </r>
    <r>
      <rPr>
        <sz val="9"/>
        <color theme="1"/>
        <rFont val="Arial"/>
        <family val="2"/>
      </rPr>
      <t>)</t>
    </r>
  </si>
  <si>
    <r>
      <rPr>
        <sz val="9"/>
        <color theme="1"/>
        <rFont val="微软雅黑"/>
        <charset val="134"/>
      </rPr>
      <t>≤</t>
    </r>
    <r>
      <rPr>
        <sz val="9"/>
        <color theme="1"/>
        <rFont val="Arial"/>
        <family val="2"/>
      </rPr>
      <t>2%</t>
    </r>
  </si>
  <si>
    <r>
      <rPr>
        <sz val="9"/>
        <color theme="1"/>
        <rFont val="微软雅黑"/>
        <charset val="134"/>
      </rPr>
      <t>产品</t>
    </r>
    <r>
      <rPr>
        <sz val="9"/>
        <color theme="1"/>
        <rFont val="Arial"/>
        <family val="2"/>
      </rPr>
      <t>AFR</t>
    </r>
    <r>
      <rPr>
        <sz val="9"/>
        <color theme="1"/>
        <rFont val="微软雅黑"/>
        <charset val="134"/>
      </rPr>
      <t>计算公式：</t>
    </r>
    <r>
      <rPr>
        <sz val="9"/>
        <color theme="1"/>
        <rFont val="Arial"/>
        <family val="2"/>
      </rPr>
      <t>AFR=12*</t>
    </r>
    <r>
      <rPr>
        <sz val="9"/>
        <color theme="1"/>
        <rFont val="微软雅黑"/>
        <charset val="134"/>
      </rPr>
      <t>（近</t>
    </r>
    <r>
      <rPr>
        <sz val="9"/>
        <color theme="1"/>
        <rFont val="Arial"/>
        <family val="2"/>
      </rPr>
      <t>12</t>
    </r>
    <r>
      <rPr>
        <sz val="9"/>
        <color theme="1"/>
        <rFont val="微软雅黑"/>
        <charset val="134"/>
      </rPr>
      <t>个月累计整机故障数</t>
    </r>
    <r>
      <rPr>
        <sz val="9"/>
        <color theme="1"/>
        <rFont val="Arial"/>
        <family val="2"/>
      </rPr>
      <t>/</t>
    </r>
    <r>
      <rPr>
        <sz val="9"/>
        <color theme="1"/>
        <rFont val="微软雅黑"/>
        <charset val="134"/>
      </rPr>
      <t>近</t>
    </r>
    <r>
      <rPr>
        <sz val="9"/>
        <color theme="1"/>
        <rFont val="Arial"/>
        <family val="2"/>
      </rPr>
      <t>12</t>
    </r>
    <r>
      <rPr>
        <sz val="9"/>
        <color theme="1"/>
        <rFont val="微软雅黑"/>
        <charset val="134"/>
      </rPr>
      <t xml:space="preserve">个月当月在保量求和）
其中：
</t>
    </r>
    <r>
      <rPr>
        <sz val="9"/>
        <color theme="1"/>
        <rFont val="Arial"/>
        <family val="2"/>
      </rPr>
      <t>1</t>
    </r>
    <r>
      <rPr>
        <sz val="9"/>
        <color theme="1"/>
        <rFont val="微软雅黑"/>
        <charset val="134"/>
      </rPr>
      <t>、近</t>
    </r>
    <r>
      <rPr>
        <sz val="9"/>
        <color theme="1"/>
        <rFont val="Arial"/>
        <family val="2"/>
      </rPr>
      <t>12</t>
    </r>
    <r>
      <rPr>
        <sz val="9"/>
        <color theme="1"/>
        <rFont val="微软雅黑"/>
        <charset val="134"/>
      </rPr>
      <t>个月累计整机故障数：近</t>
    </r>
    <r>
      <rPr>
        <sz val="9"/>
        <color theme="1"/>
        <rFont val="Arial"/>
        <family val="2"/>
      </rPr>
      <t>12</t>
    </r>
    <r>
      <rPr>
        <sz val="9"/>
        <color theme="1"/>
        <rFont val="微软雅黑"/>
        <charset val="134"/>
      </rPr>
      <t>个月备件（不含硬盘）反查整机</t>
    </r>
    <r>
      <rPr>
        <sz val="9"/>
        <color theme="1"/>
        <rFont val="Arial"/>
        <family val="2"/>
      </rPr>
      <t>SN</t>
    </r>
    <r>
      <rPr>
        <sz val="9"/>
        <color theme="1"/>
        <rFont val="微软雅黑"/>
        <charset val="134"/>
      </rPr>
      <t xml:space="preserve">（不去重）方式，得到统计故障整机数作为分子；
</t>
    </r>
    <r>
      <rPr>
        <sz val="9"/>
        <color theme="1"/>
        <rFont val="Arial"/>
        <family val="2"/>
      </rPr>
      <t>2</t>
    </r>
    <r>
      <rPr>
        <sz val="9"/>
        <color theme="1"/>
        <rFont val="微软雅黑"/>
        <charset val="134"/>
      </rPr>
      <t>、近</t>
    </r>
    <r>
      <rPr>
        <sz val="9"/>
        <color theme="1"/>
        <rFont val="Arial"/>
        <family val="2"/>
      </rPr>
      <t>12</t>
    </r>
    <r>
      <rPr>
        <sz val="9"/>
        <color theme="1"/>
        <rFont val="微软雅黑"/>
        <charset val="134"/>
      </rPr>
      <t>个月当月在保量求和：每个月在保的存量求和</t>
    </r>
  </si>
  <si>
    <r>
      <rPr>
        <sz val="9"/>
        <color theme="1"/>
        <rFont val="微软雅黑"/>
        <charset val="134"/>
      </rPr>
      <t>从客户视角设定指标，与业界同步，牵引产品改进</t>
    </r>
  </si>
  <si>
    <r>
      <rPr>
        <sz val="9"/>
        <rFont val="Arial"/>
        <family val="2"/>
      </rPr>
      <t>RMA</t>
    </r>
    <r>
      <rPr>
        <sz val="9"/>
        <rFont val="宋体"/>
        <charset val="134"/>
      </rPr>
      <t>率</t>
    </r>
  </si>
  <si>
    <t>对出货12个月内的整机进行整体情况的测量</t>
  </si>
  <si>
    <r>
      <rPr>
        <sz val="9"/>
        <color theme="1"/>
        <rFont val="微软雅黑"/>
        <charset val="134"/>
      </rPr>
      <t>≤</t>
    </r>
    <r>
      <rPr>
        <sz val="9"/>
        <color theme="1"/>
        <rFont val="Arial"/>
        <family val="2"/>
      </rPr>
      <t>1%</t>
    </r>
  </si>
  <si>
    <r>
      <rPr>
        <sz val="9"/>
        <color theme="1"/>
        <rFont val="微软雅黑"/>
        <charset val="134"/>
      </rPr>
      <t>产品</t>
    </r>
    <r>
      <rPr>
        <sz val="9"/>
        <color theme="1"/>
        <rFont val="Arial"/>
        <family val="2"/>
      </rPr>
      <t>RMA</t>
    </r>
    <r>
      <rPr>
        <sz val="9"/>
        <color theme="1"/>
        <rFont val="微软雅黑"/>
        <charset val="134"/>
      </rPr>
      <t>计算公式：</t>
    </r>
    <r>
      <rPr>
        <sz val="9"/>
        <color theme="1"/>
        <rFont val="Arial"/>
        <family val="2"/>
      </rPr>
      <t>RMA</t>
    </r>
    <r>
      <rPr>
        <sz val="9"/>
        <color theme="1"/>
        <rFont val="微软雅黑"/>
        <charset val="134"/>
      </rPr>
      <t>率</t>
    </r>
    <r>
      <rPr>
        <sz val="9"/>
        <color theme="1"/>
        <rFont val="Arial"/>
        <family val="2"/>
      </rPr>
      <t>=</t>
    </r>
    <r>
      <rPr>
        <sz val="9"/>
        <color theme="1"/>
        <rFont val="宋体"/>
        <charset val="134"/>
      </rPr>
      <t>出货</t>
    </r>
    <r>
      <rPr>
        <sz val="9"/>
        <color theme="1"/>
        <rFont val="微软雅黑"/>
        <charset val="134"/>
      </rPr>
      <t>12月内报修坏件数</t>
    </r>
    <r>
      <rPr>
        <sz val="9"/>
        <color theme="1"/>
        <rFont val="Arial"/>
        <family val="2"/>
      </rPr>
      <t>/</t>
    </r>
    <r>
      <rPr>
        <sz val="9"/>
        <color theme="1"/>
        <rFont val="微软雅黑"/>
        <charset val="134"/>
      </rPr>
      <t>同时间12月内开单数（复判为坏件）</t>
    </r>
    <r>
      <rPr>
        <sz val="9"/>
        <color theme="1"/>
        <rFont val="Arial"/>
        <family val="2"/>
      </rPr>
      <t>1.</t>
    </r>
    <r>
      <rPr>
        <sz val="9"/>
        <color theme="1"/>
        <rFont val="宋体"/>
        <charset val="134"/>
      </rPr>
      <t>出货12月内故障整机</t>
    </r>
    <r>
      <rPr>
        <sz val="9"/>
        <color theme="1"/>
        <rFont val="Arial"/>
        <family val="2"/>
      </rPr>
      <t>SN</t>
    </r>
    <r>
      <rPr>
        <sz val="9"/>
        <color theme="1"/>
        <rFont val="宋体"/>
        <charset val="134"/>
      </rPr>
      <t>（去重）</t>
    </r>
    <r>
      <rPr>
        <sz val="9"/>
        <color theme="1"/>
        <rFont val="Arial"/>
        <family val="2"/>
      </rPr>
      <t xml:space="preserve">
</t>
    </r>
    <r>
      <rPr>
        <sz val="9"/>
        <color rgb="FFFF0000"/>
        <rFont val="宋体"/>
        <charset val="134"/>
      </rPr>
      <t>2022销售一年</t>
    </r>
    <r>
      <rPr>
        <sz val="9"/>
        <color rgb="FFFF0000"/>
        <rFont val="Arial"/>
        <family val="2"/>
      </rPr>
      <t>RMA</t>
    </r>
    <r>
      <rPr>
        <sz val="9"/>
        <color rgb="FFFF0000"/>
        <rFont val="宋体"/>
        <charset val="134"/>
      </rPr>
      <t>率</t>
    </r>
    <r>
      <rPr>
        <sz val="9"/>
        <color rgb="FFFF0000"/>
        <rFont val="Arial"/>
        <family val="2"/>
      </rPr>
      <t>(</t>
    </r>
    <r>
      <rPr>
        <sz val="9"/>
        <color rgb="FFFF0000"/>
        <rFont val="宋体"/>
        <charset val="134"/>
      </rPr>
      <t>二年</t>
    </r>
    <r>
      <rPr>
        <sz val="9"/>
        <color rgb="FFFF0000"/>
        <rFont val="Arial"/>
        <family val="2"/>
      </rPr>
      <t>/</t>
    </r>
    <r>
      <rPr>
        <sz val="9"/>
        <color rgb="FFFF0000"/>
        <rFont val="宋体"/>
        <charset val="134"/>
      </rPr>
      <t>三年</t>
    </r>
    <r>
      <rPr>
        <sz val="9"/>
        <color rgb="FFFF0000"/>
        <rFont val="Arial"/>
        <family val="2"/>
      </rPr>
      <t>)=</t>
    </r>
    <r>
      <rPr>
        <sz val="9"/>
        <color rgb="FFFF0000"/>
        <rFont val="宋体"/>
        <charset val="134"/>
      </rPr>
      <t>出货</t>
    </r>
    <r>
      <rPr>
        <sz val="9"/>
        <color rgb="FFFF0000"/>
        <rFont val="Arial"/>
        <family val="2"/>
      </rPr>
      <t>12</t>
    </r>
    <r>
      <rPr>
        <sz val="9"/>
        <color rgb="FFFF0000"/>
        <rFont val="宋体"/>
        <charset val="134"/>
      </rPr>
      <t>个月内故障整机数</t>
    </r>
    <r>
      <rPr>
        <sz val="9"/>
        <color rgb="FFFF0000"/>
        <rFont val="Arial"/>
        <family val="2"/>
      </rPr>
      <t>(24</t>
    </r>
    <r>
      <rPr>
        <sz val="9"/>
        <color rgb="FFFF0000"/>
        <rFont val="宋体"/>
        <charset val="134"/>
      </rPr>
      <t>个月内</t>
    </r>
    <r>
      <rPr>
        <sz val="9"/>
        <color rgb="FFFF0000"/>
        <rFont val="Arial"/>
        <family val="2"/>
      </rPr>
      <t xml:space="preserve">
36</t>
    </r>
    <r>
      <rPr>
        <sz val="9"/>
        <color rgb="FFFF0000"/>
        <rFont val="宋体"/>
        <charset val="134"/>
      </rPr>
      <t>个月内</t>
    </r>
    <r>
      <rPr>
        <sz val="9"/>
        <color rgb="FFFF0000"/>
        <rFont val="Arial"/>
        <family val="2"/>
      </rPr>
      <t>)/</t>
    </r>
    <r>
      <rPr>
        <sz val="9"/>
        <color rgb="FFFF0000"/>
        <rFont val="宋体"/>
        <charset val="134"/>
      </rPr>
      <t>当年销售总数</t>
    </r>
    <r>
      <rPr>
        <sz val="9"/>
        <color rgb="FFFF0000"/>
        <rFont val="Arial"/>
        <family val="2"/>
      </rPr>
      <t xml:space="preserve">
</t>
    </r>
    <r>
      <rPr>
        <sz val="9"/>
        <color rgb="FFFF0000"/>
        <rFont val="宋体"/>
        <charset val="134"/>
      </rPr>
      <t>整机</t>
    </r>
    <r>
      <rPr>
        <sz val="9"/>
        <color rgb="FFFF0000"/>
        <rFont val="Arial"/>
        <family val="2"/>
      </rPr>
      <t>SN</t>
    </r>
    <r>
      <rPr>
        <sz val="9"/>
        <color rgb="FFFF0000"/>
        <rFont val="宋体"/>
        <charset val="134"/>
      </rPr>
      <t>去重</t>
    </r>
    <r>
      <rPr>
        <sz val="9"/>
        <color rgb="FFFF0000"/>
        <rFont val="Arial"/>
        <family val="2"/>
      </rPr>
      <t xml:space="preserve">
</t>
    </r>
    <r>
      <rPr>
        <sz val="9"/>
        <color rgb="FFFF0000"/>
        <rFont val="宋体"/>
        <charset val="134"/>
      </rPr>
      <t>当年销售总数按备件部内部销售数据汇总</t>
    </r>
  </si>
  <si>
    <r>
      <rPr>
        <sz val="9"/>
        <color theme="1"/>
        <rFont val="Arial"/>
        <family val="2"/>
      </rPr>
      <t>1</t>
    </r>
    <r>
      <rPr>
        <sz val="9"/>
        <color theme="1"/>
        <rFont val="宋体"/>
        <charset val="134"/>
      </rPr>
      <t>、评估整体产品运行性能及部件损坏；</t>
    </r>
    <r>
      <rPr>
        <sz val="9"/>
        <color theme="1"/>
        <rFont val="Arial"/>
        <family val="2"/>
      </rPr>
      <t xml:space="preserve">
2</t>
    </r>
    <r>
      <rPr>
        <sz val="9"/>
        <color theme="1"/>
        <rFont val="宋体"/>
        <charset val="134"/>
      </rPr>
      <t>、减少网上运行产品硬件损坏造成的损失成本，以及对顾客不满意产生的影响。</t>
    </r>
  </si>
  <si>
    <r>
      <rPr>
        <sz val="9"/>
        <color theme="1"/>
        <rFont val="微软雅黑"/>
        <charset val="134"/>
      </rPr>
      <t>客户满意度</t>
    </r>
  </si>
  <si>
    <r>
      <rPr>
        <sz val="9"/>
        <color theme="1"/>
        <rFont val="微软雅黑"/>
        <charset val="134"/>
      </rPr>
      <t>≥</t>
    </r>
    <r>
      <rPr>
        <sz val="9"/>
        <color theme="1"/>
        <rFont val="Arial"/>
        <family val="2"/>
      </rPr>
      <t>97%</t>
    </r>
  </si>
  <si>
    <r>
      <rPr>
        <sz val="9"/>
        <color theme="1"/>
        <rFont val="微软雅黑"/>
        <charset val="134"/>
      </rPr>
      <t>客户服务满意度</t>
    </r>
    <r>
      <rPr>
        <sz val="9"/>
        <color theme="1"/>
        <rFont val="Arial"/>
        <family val="2"/>
      </rPr>
      <t>=</t>
    </r>
    <r>
      <rPr>
        <sz val="9"/>
        <color theme="1"/>
        <rFont val="微软雅黑"/>
        <charset val="134"/>
      </rPr>
      <t>热线接通率</t>
    </r>
    <r>
      <rPr>
        <sz val="9"/>
        <color theme="1"/>
        <rFont val="Arial"/>
        <family val="2"/>
      </rPr>
      <t>*10%+</t>
    </r>
    <r>
      <rPr>
        <sz val="9"/>
        <color theme="1"/>
        <rFont val="微软雅黑"/>
        <charset val="134"/>
      </rPr>
      <t>热线满意度</t>
    </r>
    <r>
      <rPr>
        <sz val="9"/>
        <color theme="1"/>
        <rFont val="Arial"/>
        <family val="2"/>
      </rPr>
      <t>*20%+</t>
    </r>
    <r>
      <rPr>
        <sz val="9"/>
        <color theme="1"/>
        <rFont val="微软雅黑"/>
        <charset val="134"/>
      </rPr>
      <t>现场服务满意度</t>
    </r>
    <r>
      <rPr>
        <sz val="9"/>
        <color theme="1"/>
        <rFont val="Arial"/>
        <family val="2"/>
      </rPr>
      <t>*30%+</t>
    </r>
    <r>
      <rPr>
        <sz val="9"/>
        <color theme="1"/>
        <rFont val="微软雅黑"/>
        <charset val="134"/>
      </rPr>
      <t>备件</t>
    </r>
    <r>
      <rPr>
        <sz val="9"/>
        <color theme="1"/>
        <rFont val="Arial"/>
        <family val="2"/>
      </rPr>
      <t>SLA*30%+</t>
    </r>
    <r>
      <rPr>
        <sz val="9"/>
        <color theme="1"/>
        <rFont val="微软雅黑"/>
        <charset val="134"/>
      </rPr>
      <t>网络</t>
    </r>
    <r>
      <rPr>
        <sz val="9"/>
        <color theme="1"/>
        <rFont val="Arial"/>
        <family val="2"/>
      </rPr>
      <t>10</t>
    </r>
    <r>
      <rPr>
        <sz val="9"/>
        <color theme="1"/>
        <rFont val="微软雅黑"/>
        <charset val="134"/>
      </rPr>
      <t>日返修率</t>
    </r>
    <r>
      <rPr>
        <sz val="9"/>
        <color theme="1"/>
        <rFont val="Arial"/>
        <family val="2"/>
      </rPr>
      <t>*10%</t>
    </r>
  </si>
  <si>
    <r>
      <rPr>
        <sz val="9"/>
        <color theme="1"/>
        <rFont val="微软雅黑"/>
        <charset val="134"/>
      </rPr>
      <t>工厂端</t>
    </r>
  </si>
  <si>
    <r>
      <rPr>
        <sz val="9"/>
        <color theme="1"/>
        <rFont val="Arial"/>
        <family val="2"/>
      </rPr>
      <t>FPY</t>
    </r>
    <r>
      <rPr>
        <sz val="9"/>
        <color theme="1"/>
        <rFont val="微软雅黑"/>
        <charset val="134"/>
      </rPr>
      <t>（一次通过率）</t>
    </r>
  </si>
  <si>
    <r>
      <rPr>
        <sz val="9"/>
        <color theme="1"/>
        <rFont val="微软雅黑"/>
        <charset val="134"/>
      </rPr>
      <t>直通合格数表示首次制程通过所有测试的良品数量；
投入总入表示生产投入总数量包含不合格品与合格品。</t>
    </r>
  </si>
  <si>
    <r>
      <rPr>
        <sz val="9"/>
        <color theme="1"/>
        <rFont val="微软雅黑"/>
        <charset val="134"/>
      </rPr>
      <t>≥</t>
    </r>
    <r>
      <rPr>
        <sz val="9"/>
        <color theme="1"/>
        <rFont val="Arial"/>
        <family val="2"/>
      </rPr>
      <t>96%</t>
    </r>
  </si>
  <si>
    <r>
      <rPr>
        <sz val="9"/>
        <color theme="1"/>
        <rFont val="Arial"/>
        <family val="2"/>
      </rPr>
      <t>FPY=</t>
    </r>
    <r>
      <rPr>
        <sz val="9"/>
        <color theme="1"/>
        <rFont val="微软雅黑"/>
        <charset val="134"/>
      </rPr>
      <t>（直通合格数</t>
    </r>
    <r>
      <rPr>
        <sz val="9"/>
        <color theme="1"/>
        <rFont val="Arial"/>
        <family val="2"/>
      </rPr>
      <t>/</t>
    </r>
    <r>
      <rPr>
        <sz val="9"/>
        <color theme="1"/>
        <rFont val="微软雅黑"/>
        <charset val="134"/>
      </rPr>
      <t>投入总数）</t>
    </r>
    <r>
      <rPr>
        <sz val="9"/>
        <color theme="1"/>
        <rFont val="Arial"/>
        <family val="2"/>
      </rPr>
      <t xml:space="preserve">*100% </t>
    </r>
    <r>
      <rPr>
        <sz val="9"/>
        <color theme="1"/>
        <rFont val="微软雅黑"/>
        <charset val="134"/>
      </rPr>
      <t xml:space="preserve">。
</t>
    </r>
    <r>
      <rPr>
        <sz val="9"/>
        <color theme="1"/>
        <rFont val="Arial"/>
        <family val="2"/>
      </rPr>
      <t xml:space="preserve">FPY= FPY1 x FPY2 xFPY3 ... </t>
    </r>
    <r>
      <rPr>
        <sz val="9"/>
        <color theme="1"/>
        <rFont val="微软雅黑"/>
        <charset val="134"/>
      </rPr>
      <t>其中</t>
    </r>
    <r>
      <rPr>
        <sz val="9"/>
        <color theme="1"/>
        <rFont val="Arial"/>
        <family val="2"/>
      </rPr>
      <t xml:space="preserve"> FPY1,FPY2,FPY3</t>
    </r>
    <r>
      <rPr>
        <sz val="9"/>
        <color theme="1"/>
        <rFont val="微软雅黑"/>
        <charset val="134"/>
      </rPr>
      <t>等为各段生产流程的直通率</t>
    </r>
  </si>
  <si>
    <r>
      <rPr>
        <sz val="9"/>
        <color theme="1"/>
        <rFont val="微软雅黑"/>
        <charset val="134"/>
      </rPr>
      <t>衡量生产线产出产品品质水准的一项指标，用以描述生产质量、工作质量或测试质量的某种状况；能够了解产品生产过程中在所有工序下产品直达到成品的能力，是反映企业质量控制能力的一个参数</t>
    </r>
  </si>
  <si>
    <r>
      <rPr>
        <sz val="9"/>
        <color theme="1"/>
        <rFont val="Arial"/>
        <family val="2"/>
      </rPr>
      <t>OQC</t>
    </r>
    <r>
      <rPr>
        <sz val="9"/>
        <color theme="1"/>
        <rFont val="微软雅黑"/>
        <charset val="134"/>
      </rPr>
      <t>批次合格率</t>
    </r>
  </si>
  <si>
    <r>
      <rPr>
        <sz val="9"/>
        <color theme="1"/>
        <rFont val="Arial"/>
        <family val="2"/>
      </rPr>
      <t>OQC</t>
    </r>
    <r>
      <rPr>
        <sz val="9"/>
        <color theme="1"/>
        <rFont val="微软雅黑"/>
        <charset val="134"/>
      </rPr>
      <t>批次合格率：产品生产完后，批次抽检合格的比例。</t>
    </r>
  </si>
  <si>
    <r>
      <rPr>
        <sz val="9"/>
        <color theme="1"/>
        <rFont val="Arial"/>
        <family val="2"/>
      </rPr>
      <t>OQC</t>
    </r>
    <r>
      <rPr>
        <sz val="9"/>
        <color theme="1"/>
        <rFont val="微软雅黑"/>
        <charset val="134"/>
      </rPr>
      <t>合格率</t>
    </r>
    <r>
      <rPr>
        <sz val="9"/>
        <color theme="1"/>
        <rFont val="Arial"/>
        <family val="2"/>
      </rPr>
      <t>=</t>
    </r>
    <r>
      <rPr>
        <sz val="9"/>
        <color theme="1"/>
        <rFont val="微软雅黑"/>
        <charset val="134"/>
      </rPr>
      <t>（送检合格的批次</t>
    </r>
    <r>
      <rPr>
        <sz val="9"/>
        <color theme="1"/>
        <rFont val="Arial"/>
        <family val="2"/>
      </rPr>
      <t>/</t>
    </r>
    <r>
      <rPr>
        <sz val="9"/>
        <color theme="1"/>
        <rFont val="微软雅黑"/>
        <charset val="134"/>
      </rPr>
      <t>总的送检批次）</t>
    </r>
    <r>
      <rPr>
        <sz val="9"/>
        <color theme="1"/>
        <rFont val="Arial"/>
        <family val="2"/>
      </rPr>
      <t>*1000000</t>
    </r>
  </si>
  <si>
    <r>
      <rPr>
        <sz val="9"/>
        <color theme="1"/>
        <rFont val="微软雅黑"/>
        <charset val="134"/>
      </rPr>
      <t>评估工厂生产过程中的质量情况；减少因为制程质量低造成返工影响出货与质量成本增加。</t>
    </r>
  </si>
  <si>
    <r>
      <rPr>
        <sz val="9"/>
        <color theme="1"/>
        <rFont val="微软雅黑"/>
        <charset val="134"/>
      </rPr>
      <t>体系认证通过率</t>
    </r>
  </si>
  <si>
    <r>
      <rPr>
        <sz val="9"/>
        <color theme="1"/>
        <rFont val="微软雅黑"/>
        <charset val="134"/>
      </rPr>
      <t>是指按照集团年度规划或需求认证项目通过的比率</t>
    </r>
  </si>
  <si>
    <r>
      <rPr>
        <sz val="9"/>
        <color theme="1"/>
        <rFont val="微软雅黑"/>
        <charset val="134"/>
      </rPr>
      <t>通过的认证项目数量</t>
    </r>
    <r>
      <rPr>
        <sz val="9"/>
        <color theme="1"/>
        <rFont val="Arial"/>
        <family val="2"/>
      </rPr>
      <t>/</t>
    </r>
    <r>
      <rPr>
        <sz val="9"/>
        <color theme="1"/>
        <rFont val="微软雅黑"/>
        <charset val="134"/>
      </rPr>
      <t>集团年度规划或需求的认证项目总数量</t>
    </r>
    <r>
      <rPr>
        <sz val="9"/>
        <color theme="1"/>
        <rFont val="Arial"/>
        <family val="2"/>
      </rPr>
      <t>*100%</t>
    </r>
  </si>
  <si>
    <r>
      <rPr>
        <sz val="9"/>
        <color theme="1"/>
        <rFont val="微软雅黑"/>
        <charset val="134"/>
      </rPr>
      <t>展示符合国际标准或国家标准的资质，提升客户信赖度，以及在三方审核过程中寻求生产管理的改进机会，提升流程效率。</t>
    </r>
  </si>
  <si>
    <r>
      <rPr>
        <sz val="9"/>
        <color theme="1"/>
        <rFont val="微软雅黑"/>
        <charset val="134"/>
      </rPr>
      <t>入料端</t>
    </r>
  </si>
  <si>
    <r>
      <rPr>
        <sz val="9"/>
        <color theme="1"/>
        <rFont val="Arial"/>
        <family val="2"/>
      </rPr>
      <t>IQC</t>
    </r>
    <r>
      <rPr>
        <sz val="9"/>
        <color theme="1"/>
        <rFont val="微软雅黑"/>
        <charset val="134"/>
      </rPr>
      <t>批次合格率</t>
    </r>
  </si>
  <si>
    <r>
      <rPr>
        <sz val="9"/>
        <color theme="1"/>
        <rFont val="Arial"/>
        <family val="2"/>
      </rPr>
      <t>IQC</t>
    </r>
    <r>
      <rPr>
        <sz val="9"/>
        <color theme="1"/>
        <rFont val="微软雅黑"/>
        <charset val="134"/>
      </rPr>
      <t>批次合格率：供应商来料，抽检合格的批次的比例。</t>
    </r>
  </si>
  <si>
    <r>
      <rPr>
        <sz val="9"/>
        <color theme="1"/>
        <rFont val="Arial"/>
        <family val="2"/>
      </rPr>
      <t>IQC</t>
    </r>
    <r>
      <rPr>
        <sz val="9"/>
        <color theme="1"/>
        <rFont val="微软雅黑"/>
        <charset val="134"/>
      </rPr>
      <t>批次合格率</t>
    </r>
    <r>
      <rPr>
        <sz val="9"/>
        <color theme="1"/>
        <rFont val="Arial"/>
        <family val="2"/>
      </rPr>
      <t>=</t>
    </r>
    <r>
      <rPr>
        <sz val="9"/>
        <color theme="1"/>
        <rFont val="微软雅黑"/>
        <charset val="134"/>
      </rPr>
      <t>（来料抽检合格的批次</t>
    </r>
    <r>
      <rPr>
        <sz val="9"/>
        <color theme="1"/>
        <rFont val="Arial"/>
        <family val="2"/>
      </rPr>
      <t>/</t>
    </r>
    <r>
      <rPr>
        <sz val="9"/>
        <color theme="1"/>
        <rFont val="微软雅黑"/>
        <charset val="134"/>
      </rPr>
      <t>总的来料批次）</t>
    </r>
    <r>
      <rPr>
        <sz val="9"/>
        <color theme="1"/>
        <rFont val="Arial"/>
        <family val="2"/>
      </rPr>
      <t>*1000000</t>
    </r>
  </si>
  <si>
    <r>
      <rPr>
        <sz val="9"/>
        <color theme="1"/>
        <rFont val="微软雅黑"/>
        <charset val="134"/>
      </rPr>
      <t>评估供应商的质量管理水平，减少因为来料不合格导致的上线不良，造成出货延迟；</t>
    </r>
  </si>
  <si>
    <r>
      <rPr>
        <sz val="9"/>
        <color theme="1"/>
        <rFont val="微软雅黑"/>
        <charset val="134"/>
      </rPr>
      <t>产品端</t>
    </r>
  </si>
  <si>
    <r>
      <rPr>
        <sz val="9"/>
        <color theme="1"/>
        <rFont val="微软雅黑"/>
        <charset val="134"/>
      </rPr>
      <t>研发阶段问题关闭率</t>
    </r>
  </si>
  <si>
    <r>
      <rPr>
        <sz val="9"/>
        <color theme="1"/>
        <rFont val="微软雅黑"/>
        <charset val="134"/>
      </rPr>
      <t>≥</t>
    </r>
    <r>
      <rPr>
        <sz val="9"/>
        <color theme="1"/>
        <rFont val="Arial"/>
        <family val="2"/>
      </rPr>
      <t>98%</t>
    </r>
  </si>
  <si>
    <t>问题关闭率定义为在研发阶段中已解决问题的数量与总发现问题数量的比例</t>
  </si>
  <si>
    <r>
      <rPr>
        <sz val="9"/>
        <color theme="1"/>
        <rFont val="微软雅黑"/>
        <charset val="134"/>
      </rPr>
      <t>供应商端</t>
    </r>
  </si>
  <si>
    <r>
      <rPr>
        <sz val="9"/>
        <color theme="1"/>
        <rFont val="微软雅黑"/>
        <charset val="134"/>
      </rPr>
      <t>供应商质量评价完成率</t>
    </r>
  </si>
  <si>
    <r>
      <rPr>
        <sz val="9"/>
        <color theme="1"/>
        <rFont val="微软雅黑"/>
        <charset val="134"/>
      </rPr>
      <t>每季度根据各供应商来料的批次合格率、制程批数、线退率（含</t>
    </r>
    <r>
      <rPr>
        <sz val="9"/>
        <color theme="1"/>
        <rFont val="Arial"/>
        <family val="2"/>
      </rPr>
      <t>DOA</t>
    </r>
    <r>
      <rPr>
        <sz val="9"/>
        <color theme="1"/>
        <rFont val="微软雅黑"/>
        <charset val="134"/>
      </rPr>
      <t>数）、重大质量事故数、服务时效进行供应打分，对每个供应商进行分层分级评价</t>
    </r>
  </si>
  <si>
    <r>
      <rPr>
        <sz val="9"/>
        <color theme="1"/>
        <rFont val="微软雅黑"/>
        <charset val="134"/>
      </rPr>
      <t>完成评价的供应商</t>
    </r>
    <r>
      <rPr>
        <sz val="9"/>
        <color theme="1"/>
        <rFont val="Arial"/>
        <family val="2"/>
      </rPr>
      <t>/</t>
    </r>
    <r>
      <rPr>
        <sz val="9"/>
        <color theme="1"/>
        <rFont val="微软雅黑"/>
        <charset val="134"/>
      </rPr>
      <t>当季度供货的合格供应商名录总数</t>
    </r>
    <r>
      <rPr>
        <sz val="9"/>
        <color theme="1"/>
        <rFont val="Arial"/>
        <family val="2"/>
      </rPr>
      <t>*100%</t>
    </r>
  </si>
  <si>
    <r>
      <rPr>
        <sz val="9"/>
        <color theme="1"/>
        <rFont val="微软雅黑"/>
        <charset val="134"/>
      </rPr>
      <t>通过对供应商各个维度的综合评分，给采购提供采购策略依据，并对供应商质量管理提供重点改善方向；</t>
    </r>
  </si>
  <si>
    <t>建议KPI占比</t>
  </si>
  <si>
    <t>度量范围</t>
  </si>
  <si>
    <t>考核指标</t>
  </si>
  <si>
    <t>考核内容</t>
  </si>
  <si>
    <t>目标值</t>
  </si>
  <si>
    <t>评分规则</t>
  </si>
  <si>
    <t>子项目权重</t>
  </si>
  <si>
    <t>权重</t>
  </si>
  <si>
    <t>实际达成</t>
  </si>
  <si>
    <t>得分</t>
  </si>
  <si>
    <t>客户</t>
  </si>
  <si>
    <t>关键业绩指标</t>
  </si>
  <si>
    <t>合肥工厂生产产能</t>
  </si>
  <si>
    <t>合肥生产基地实现服务器量产3万台或相关产能</t>
  </si>
  <si>
    <t>1.完成目标值，得100分；
2.完成目标值70%以下，得0分；
3.完成目标值70%，得70分；
4.完成目标值70%-100%，线性计算，100分封顶</t>
  </si>
  <si>
    <t>考核乘数</t>
  </si>
  <si>
    <t>财务 客户 流程 学习与成长</t>
  </si>
  <si>
    <t>生产及交付管理</t>
  </si>
  <si>
    <t>生产交付</t>
  </si>
  <si>
    <t>SLA按期交付达成率98%,平均SLA降低20%，目标28天</t>
  </si>
  <si>
    <t>收入利润这种就放财务里，满意度、交货率之类的可以放客户，计划准确率，采购成本周期这种内部流程类的流程，学习与成长可以是从内部员工的角度，像培训晋升。。。</t>
  </si>
  <si>
    <t>交付质量及重大安全事故</t>
  </si>
  <si>
    <t>工厂质量事故0起，成品批次合格率98%；</t>
  </si>
  <si>
    <t>财务</t>
  </si>
  <si>
    <t>运营效率</t>
  </si>
  <si>
    <t>生产成本</t>
  </si>
  <si>
    <t>生产成本需要降低到380元/台以下；</t>
  </si>
  <si>
    <t>费用</t>
  </si>
  <si>
    <t>仓储及运费总体费用需要同比降低20%，每台从原先的503元降低到403元以下</t>
  </si>
  <si>
    <t>供应链金融</t>
  </si>
  <si>
    <t>供应链金融总体需要达到4亿+规模；</t>
  </si>
  <si>
    <t>1.完成目标值，得100分；
2.完成目标值70%以下，得0分；
3.完成目标值70%，得70分；
4.完成目标值70%-100%，线性计算，100分封顶
扣分项：质量事故每起扣15分</t>
  </si>
  <si>
    <t>流程</t>
  </si>
  <si>
    <t>数字化目标</t>
  </si>
  <si>
    <t>业务流程数字化/管理流程数字化</t>
  </si>
  <si>
    <t>根据业务流程数字化/管理流程数字化方案完成2024年工厂项目端到端交付 可视数字化建设</t>
  </si>
  <si>
    <t>中台打分</t>
  </si>
  <si>
    <t>学习与成长</t>
  </si>
  <si>
    <t>文化目标</t>
  </si>
  <si>
    <t>团队管理</t>
  </si>
  <si>
    <t>工厂关键岗位无空缺，岗位职责清晰，不合格干部的汰换完成率90%；</t>
  </si>
  <si>
    <t>年底人力资源部打分</t>
  </si>
  <si>
    <t>鲲鹏
服务器</t>
    <phoneticPr fontId="34" type="noConversion"/>
  </si>
  <si>
    <t>晟腾
服务器</t>
    <phoneticPr fontId="3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</si>
</sst>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等线"/>
      <charset val="134"/>
      <scheme val="minor"/>
    </font>
    <font>
      <b/>
      <sz val="10"/>
      <color theme="1"/>
      <name val="微软雅黑"/>
      <charset val="134"/>
    </font>
    <font>
      <b/>
      <sz val="9"/>
      <color theme="1"/>
      <name val="Microsoft YaHei"/>
      <charset val="134"/>
    </font>
    <font>
      <b/>
      <sz val="9"/>
      <color theme="1"/>
      <name val="微软雅黑"/>
      <charset val="134"/>
    </font>
    <font>
      <sz val="9"/>
      <color theme="1"/>
      <name val="Microsoft YaHei"/>
      <charset val="134"/>
    </font>
    <font>
      <sz val="9"/>
      <color rgb="FF000000"/>
      <name val="Microsoft YaHei"/>
      <charset val="134"/>
    </font>
    <font>
      <sz val="9"/>
      <name val="Microsoft YaHei"/>
      <charset val="134"/>
    </font>
    <font>
      <sz val="10"/>
      <color theme="1"/>
      <name val="微软雅黑"/>
      <charset val="134"/>
    </font>
    <font>
      <sz val="9"/>
      <name val="微软雅黑"/>
      <charset val="134"/>
    </font>
    <font>
      <b/>
      <sz val="9"/>
      <color rgb="FF000000"/>
      <name val="Microsoft YaHei"/>
      <charset val="134"/>
    </font>
    <font>
      <b/>
      <sz val="9"/>
      <name val="微软雅黑"/>
      <charset val="134"/>
    </font>
    <font>
      <sz val="11"/>
      <name val="微软雅黑"/>
      <charset val="134"/>
    </font>
    <font>
      <sz val="10"/>
      <name val="微软雅黑"/>
      <charset val="134"/>
    </font>
    <font>
      <b/>
      <sz val="11"/>
      <name val="微软雅黑"/>
      <charset val="134"/>
    </font>
    <font>
      <b/>
      <sz val="9"/>
      <color theme="1"/>
      <name val="Arial"/>
      <family val="2"/>
    </font>
    <font>
      <sz val="9"/>
      <color theme="1"/>
      <name val="Arial"/>
      <family val="2"/>
    </font>
    <font>
      <b/>
      <sz val="9"/>
      <color theme="1"/>
      <name val="宋体"/>
      <charset val="134"/>
    </font>
    <font>
      <sz val="9"/>
      <color theme="1"/>
      <name val="微软雅黑"/>
      <charset val="134"/>
    </font>
    <font>
      <sz val="9"/>
      <color theme="1"/>
      <name val="等线"/>
      <charset val="134"/>
    </font>
    <font>
      <sz val="9"/>
      <color theme="1"/>
      <name val="Cambria Math"/>
      <family val="1"/>
    </font>
    <font>
      <sz val="9"/>
      <name val="Arial"/>
      <family val="2"/>
    </font>
    <font>
      <sz val="9"/>
      <color theme="1"/>
      <name val="宋体"/>
      <charset val="134"/>
    </font>
    <font>
      <sz val="9"/>
      <color theme="1"/>
      <name val="等线"/>
      <charset val="134"/>
      <scheme val="minor"/>
    </font>
    <font>
      <b/>
      <sz val="11"/>
      <color theme="1"/>
      <name val="等线"/>
      <charset val="134"/>
      <scheme val="minor"/>
    </font>
    <font>
      <sz val="10"/>
      <color theme="1"/>
      <name val="等线"/>
      <charset val="134"/>
      <scheme val="minor"/>
    </font>
    <font>
      <sz val="12"/>
      <color theme="1"/>
      <name val="等线"/>
      <charset val="134"/>
      <scheme val="minor"/>
    </font>
    <font>
      <sz val="9"/>
      <color rgb="FFFF0000"/>
      <name val="宋体"/>
      <charset val="134"/>
    </font>
    <font>
      <sz val="9"/>
      <color rgb="FFFF0000"/>
      <name val="Arial"/>
      <family val="2"/>
    </font>
    <font>
      <sz val="9"/>
      <color rgb="FFFF0000"/>
      <name val="微软雅黑"/>
      <charset val="134"/>
    </font>
    <font>
      <b/>
      <sz val="10"/>
      <color theme="1"/>
      <name val="等线"/>
      <charset val="134"/>
      <scheme val="minor"/>
    </font>
    <font>
      <sz val="10"/>
      <color rgb="FFFF0000"/>
      <name val="等线"/>
      <charset val="134"/>
      <scheme val="minor"/>
    </font>
    <font>
      <b/>
      <sz val="10"/>
      <color rgb="FFFF0000"/>
      <name val="等线"/>
      <charset val="134"/>
      <scheme val="minor"/>
    </font>
    <font>
      <sz val="10"/>
      <name val="等线"/>
      <charset val="134"/>
      <scheme val="minor"/>
    </font>
    <font>
      <sz val="9"/>
      <name val="宋体"/>
      <charset val="134"/>
    </font>
    <font>
      <sz val="9"/>
      <name val="等线"/>
      <family val="3"/>
      <charset val="134"/>
      <scheme val="minor"/>
    </font>
    <font>
      <sz val="10"/>
      <color theme="1"/>
      <name val="等线"/>
      <family val="3"/>
      <charset val="134"/>
      <scheme val="minor"/>
    </font>
  </fonts>
  <fills count="7">
    <fill>
      <patternFill patternType="none"/>
    </fill>
    <fill>
      <patternFill patternType="gray125"/>
    </fill>
    <fill>
      <patternFill patternType="solid">
        <fgColor theme="3" tint="0.79989013336588644"/>
        <bgColor indexed="64"/>
      </patternFill>
    </fill>
    <fill>
      <patternFill patternType="solid">
        <fgColor theme="0"/>
        <bgColor indexed="64"/>
      </patternFill>
    </fill>
    <fill>
      <patternFill patternType="solid">
        <fgColor theme="7" tint="0.79989013336588644"/>
        <bgColor indexed="64"/>
      </patternFill>
    </fill>
    <fill>
      <patternFill patternType="solid">
        <fgColor rgb="FFFFFF00"/>
        <bgColor indexed="64"/>
      </patternFill>
    </fill>
    <fill>
      <patternFill patternType="solid">
        <fgColor theme="0" tint="-0.14996795556505021"/>
        <bgColor indexed="64"/>
      </patternFill>
    </fill>
  </fills>
  <borders count="1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auto="1"/>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84">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0" borderId="3" xfId="0" applyFont="1" applyBorder="1" applyAlignment="1">
      <alignment horizontal="center" vertical="center"/>
    </xf>
    <xf numFmtId="0" fontId="4" fillId="0" borderId="2" xfId="0" applyFont="1" applyBorder="1" applyAlignment="1">
      <alignment horizontal="center" vertical="center"/>
    </xf>
    <xf numFmtId="0" fontId="5" fillId="0" borderId="2" xfId="0" applyFont="1" applyBorder="1" applyAlignment="1">
      <alignment horizontal="center" vertical="center" wrapText="1"/>
    </xf>
    <xf numFmtId="9" fontId="6" fillId="0" borderId="2" xfId="0" applyNumberFormat="1" applyFont="1" applyBorder="1" applyAlignment="1">
      <alignment horizontal="left" vertical="center" wrapText="1"/>
    </xf>
    <xf numFmtId="0" fontId="3" fillId="0" borderId="2" xfId="0" applyFont="1" applyBorder="1" applyAlignment="1">
      <alignment horizontal="center" vertical="center" wrapText="1"/>
    </xf>
    <xf numFmtId="9" fontId="7" fillId="0" borderId="2" xfId="0" applyNumberFormat="1" applyFont="1" applyBorder="1" applyAlignment="1">
      <alignment horizontal="center" vertical="center"/>
    </xf>
    <xf numFmtId="49" fontId="3" fillId="0" borderId="2" xfId="0" applyNumberFormat="1" applyFont="1" applyBorder="1" applyAlignment="1">
      <alignment horizontal="center" vertical="center" wrapText="1"/>
    </xf>
    <xf numFmtId="0" fontId="8" fillId="0" borderId="6" xfId="0" applyFont="1" applyBorder="1" applyAlignment="1">
      <alignment horizontal="center" vertical="center" wrapText="1"/>
    </xf>
    <xf numFmtId="9" fontId="8" fillId="0" borderId="2" xfId="0" applyNumberFormat="1" applyFont="1" applyBorder="1" applyAlignment="1">
      <alignment horizontal="center" vertical="center" wrapText="1"/>
    </xf>
    <xf numFmtId="9" fontId="8" fillId="0" borderId="1" xfId="0" applyNumberFormat="1" applyFont="1" applyBorder="1" applyAlignment="1">
      <alignment horizontal="center" vertical="center" wrapText="1"/>
    </xf>
    <xf numFmtId="0" fontId="8" fillId="0" borderId="2" xfId="0" applyFont="1" applyBorder="1" applyAlignment="1">
      <alignment horizontal="center" vertical="center" wrapText="1"/>
    </xf>
    <xf numFmtId="9" fontId="4" fillId="0" borderId="2" xfId="0" applyNumberFormat="1" applyFont="1" applyBorder="1" applyAlignment="1">
      <alignment horizontal="center" vertical="center" wrapText="1"/>
    </xf>
    <xf numFmtId="0" fontId="8" fillId="3" borderId="2" xfId="0" applyFont="1" applyFill="1" applyBorder="1" applyAlignment="1">
      <alignment horizontal="left" vertical="center" wrapText="1"/>
    </xf>
    <xf numFmtId="9" fontId="5" fillId="0" borderId="2" xfId="0" applyNumberFormat="1" applyFont="1" applyBorder="1" applyAlignment="1">
      <alignment horizontal="left" vertical="center" wrapText="1"/>
    </xf>
    <xf numFmtId="0" fontId="9" fillId="0" borderId="2" xfId="0" applyFont="1" applyBorder="1" applyAlignment="1">
      <alignment horizontal="center" vertical="center" wrapText="1"/>
    </xf>
    <xf numFmtId="0" fontId="5" fillId="0" borderId="2" xfId="0" applyFont="1" applyBorder="1" applyAlignment="1">
      <alignment horizontal="left" vertical="center" wrapText="1"/>
    </xf>
    <xf numFmtId="9" fontId="8" fillId="0" borderId="2" xfId="0" applyNumberFormat="1" applyFont="1" applyBorder="1" applyAlignment="1">
      <alignment horizontal="left" vertical="center" wrapText="1"/>
    </xf>
    <xf numFmtId="9" fontId="8" fillId="0" borderId="2" xfId="0" applyNumberFormat="1" applyFont="1" applyBorder="1" applyAlignment="1">
      <alignment horizontal="center" vertical="center"/>
    </xf>
    <xf numFmtId="0" fontId="10" fillId="0" borderId="2" xfId="0" applyFont="1" applyBorder="1" applyAlignment="1">
      <alignment horizontal="center" vertical="center" wrapText="1"/>
    </xf>
    <xf numFmtId="0" fontId="5" fillId="0" borderId="6" xfId="0" applyFont="1" applyBorder="1" applyAlignment="1">
      <alignment horizontal="center" vertical="center" wrapText="1"/>
    </xf>
    <xf numFmtId="0" fontId="4" fillId="0" borderId="10" xfId="0" applyFont="1" applyBorder="1" applyAlignment="1">
      <alignment vertical="center" wrapText="1"/>
    </xf>
    <xf numFmtId="0" fontId="11" fillId="0" borderId="2" xfId="0" applyFont="1" applyBorder="1" applyAlignment="1">
      <alignment vertical="center"/>
    </xf>
    <xf numFmtId="0" fontId="11" fillId="0" borderId="0" xfId="0" applyFont="1" applyAlignment="1">
      <alignment vertical="center" wrapText="1"/>
    </xf>
    <xf numFmtId="0" fontId="11" fillId="0" borderId="0" xfId="0" applyFont="1" applyAlignment="1">
      <alignment horizontal="center" vertical="center"/>
    </xf>
    <xf numFmtId="9" fontId="8" fillId="0" borderId="0" xfId="0" applyNumberFormat="1" applyFont="1" applyAlignment="1">
      <alignment horizontal="center" vertical="center" wrapText="1"/>
    </xf>
    <xf numFmtId="0" fontId="11" fillId="0" borderId="0" xfId="0" applyFont="1" applyAlignment="1">
      <alignment vertical="center"/>
    </xf>
    <xf numFmtId="1" fontId="3" fillId="0" borderId="2" xfId="0" applyNumberFormat="1" applyFont="1" applyBorder="1" applyAlignment="1">
      <alignment horizontal="center" vertical="center" wrapText="1"/>
    </xf>
    <xf numFmtId="0" fontId="12" fillId="0" borderId="0" xfId="0" applyFont="1" applyAlignment="1">
      <alignment vertical="center"/>
    </xf>
    <xf numFmtId="0" fontId="8" fillId="3" borderId="2" xfId="0" applyFont="1" applyFill="1" applyBorder="1" applyAlignment="1">
      <alignment horizontal="center" vertical="center" wrapText="1"/>
    </xf>
    <xf numFmtId="0" fontId="8" fillId="3" borderId="2" xfId="0" applyFont="1" applyFill="1" applyBorder="1" applyAlignment="1">
      <alignment horizontal="center" vertical="center"/>
    </xf>
    <xf numFmtId="0" fontId="12" fillId="0" borderId="0" xfId="0" applyFont="1" applyAlignment="1">
      <alignment vertical="center" wrapText="1"/>
    </xf>
    <xf numFmtId="1" fontId="8" fillId="3" borderId="2" xfId="0" applyNumberFormat="1" applyFont="1" applyFill="1" applyBorder="1" applyAlignment="1">
      <alignment horizontal="center" vertical="center"/>
    </xf>
    <xf numFmtId="1" fontId="13" fillId="4" borderId="2" xfId="0" applyNumberFormat="1" applyFont="1" applyFill="1" applyBorder="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14" fillId="0" borderId="11" xfId="0" applyFont="1" applyBorder="1" applyAlignment="1">
      <alignment horizontal="center" vertical="center"/>
    </xf>
    <xf numFmtId="0" fontId="16" fillId="0" borderId="11" xfId="0" applyFont="1" applyBorder="1" applyAlignment="1">
      <alignment horizontal="center" vertical="center"/>
    </xf>
    <xf numFmtId="0" fontId="15" fillId="0" borderId="11" xfId="0" applyFont="1" applyBorder="1" applyAlignment="1">
      <alignment horizontal="center" vertical="center"/>
    </xf>
    <xf numFmtId="0" fontId="17" fillId="0" borderId="11" xfId="0" applyFont="1" applyBorder="1" applyAlignment="1">
      <alignment horizontal="center" vertical="center"/>
    </xf>
    <xf numFmtId="0" fontId="15" fillId="0" borderId="11" xfId="0" applyFont="1" applyBorder="1" applyAlignment="1">
      <alignment horizontal="left" vertical="center" wrapText="1"/>
    </xf>
    <xf numFmtId="0" fontId="18" fillId="0" borderId="11" xfId="0" applyFont="1" applyBorder="1" applyAlignment="1">
      <alignment horizontal="left" vertical="center" wrapText="1"/>
    </xf>
    <xf numFmtId="9" fontId="19" fillId="0" borderId="11" xfId="0" applyNumberFormat="1" applyFont="1" applyBorder="1" applyAlignment="1">
      <alignment horizontal="center" vertical="center"/>
    </xf>
    <xf numFmtId="9" fontId="15" fillId="0" borderId="11" xfId="0" applyNumberFormat="1" applyFont="1" applyBorder="1" applyAlignment="1">
      <alignment horizontal="center" vertical="center"/>
    </xf>
    <xf numFmtId="0" fontId="17" fillId="0" borderId="11" xfId="0" applyFont="1" applyBorder="1" applyAlignment="1">
      <alignment horizontal="left" vertical="center" wrapText="1"/>
    </xf>
    <xf numFmtId="0" fontId="20" fillId="0" borderId="11" xfId="0" applyFont="1" applyBorder="1" applyAlignment="1">
      <alignment horizontal="center" vertical="center"/>
    </xf>
    <xf numFmtId="0" fontId="21" fillId="0" borderId="11" xfId="0" applyFont="1" applyBorder="1" applyAlignment="1">
      <alignment horizontal="left" vertical="center" wrapText="1"/>
    </xf>
    <xf numFmtId="0" fontId="15" fillId="5" borderId="11" xfId="0" applyFont="1" applyFill="1" applyBorder="1" applyAlignment="1">
      <alignment horizontal="center" vertical="center"/>
    </xf>
    <xf numFmtId="0" fontId="15" fillId="5" borderId="11" xfId="0" applyFont="1" applyFill="1" applyBorder="1" applyAlignment="1">
      <alignment horizontal="left" vertical="center" wrapText="1"/>
    </xf>
    <xf numFmtId="9" fontId="15" fillId="5" borderId="11" xfId="0" applyNumberFormat="1" applyFont="1" applyFill="1" applyBorder="1" applyAlignment="1">
      <alignment horizontal="center" vertical="center"/>
    </xf>
    <xf numFmtId="0" fontId="22" fillId="5" borderId="0" xfId="0" applyFont="1" applyFill="1" applyAlignment="1">
      <alignment vertical="center"/>
    </xf>
    <xf numFmtId="0" fontId="21" fillId="0" borderId="11" xfId="0" applyFont="1" applyBorder="1" applyAlignment="1">
      <alignment horizontal="center" vertical="center"/>
    </xf>
    <xf numFmtId="0" fontId="16" fillId="6" borderId="11" xfId="0" applyFont="1" applyFill="1" applyBorder="1" applyAlignment="1">
      <alignment horizontal="center" vertical="center"/>
    </xf>
    <xf numFmtId="0" fontId="0" fillId="0" borderId="0" xfId="0" applyAlignment="1">
      <alignment horizontal="center"/>
    </xf>
    <xf numFmtId="0" fontId="24" fillId="0" borderId="12" xfId="0" applyFont="1" applyBorder="1" applyAlignment="1">
      <alignment horizontal="center"/>
    </xf>
    <xf numFmtId="0" fontId="24" fillId="0" borderId="11" xfId="0" applyFont="1" applyBorder="1" applyAlignment="1">
      <alignment horizontal="center"/>
    </xf>
    <xf numFmtId="0" fontId="24" fillId="5" borderId="11" xfId="0" applyFont="1" applyFill="1" applyBorder="1" applyAlignment="1">
      <alignment horizontal="center"/>
    </xf>
    <xf numFmtId="0" fontId="24" fillId="0" borderId="14" xfId="0" applyFont="1" applyBorder="1" applyAlignment="1">
      <alignment horizontal="center"/>
    </xf>
    <xf numFmtId="0" fontId="24" fillId="3" borderId="11" xfId="0" applyFont="1" applyFill="1" applyBorder="1" applyAlignment="1">
      <alignment horizontal="center" vertical="center" wrapText="1"/>
    </xf>
    <xf numFmtId="0" fontId="24" fillId="3" borderId="11" xfId="0" applyFont="1" applyFill="1" applyBorder="1" applyAlignment="1">
      <alignment horizontal="center"/>
    </xf>
    <xf numFmtId="0" fontId="23" fillId="0" borderId="0" xfId="0" applyFont="1"/>
    <xf numFmtId="0" fontId="0" fillId="0" borderId="0" xfId="0" applyAlignment="1">
      <alignment vertical="center"/>
    </xf>
    <xf numFmtId="0" fontId="24" fillId="0" borderId="11" xfId="0" applyFont="1" applyBorder="1" applyAlignment="1">
      <alignment horizontal="left" vertical="top" wrapText="1"/>
    </xf>
    <xf numFmtId="0" fontId="23" fillId="0" borderId="0" xfId="0" applyFont="1" applyAlignment="1">
      <alignment horizontal="center" vertical="center"/>
    </xf>
    <xf numFmtId="0" fontId="24" fillId="0" borderId="11" xfId="0" applyFont="1" applyBorder="1" applyAlignment="1">
      <alignment horizontal="center" vertical="center" wrapText="1"/>
    </xf>
    <xf numFmtId="0" fontId="24" fillId="0" borderId="12" xfId="0" applyFont="1" applyBorder="1" applyAlignment="1">
      <alignment horizontal="center" vertical="center" wrapText="1"/>
    </xf>
    <xf numFmtId="0" fontId="24" fillId="3" borderId="11" xfId="0" applyFont="1" applyFill="1" applyBorder="1" applyAlignment="1">
      <alignment horizontal="center" vertical="center" wrapText="1"/>
    </xf>
    <xf numFmtId="0" fontId="25" fillId="0" borderId="11" xfId="0" applyFont="1" applyBorder="1" applyAlignment="1">
      <alignment horizontal="center"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xf>
    <xf numFmtId="0" fontId="15" fillId="0" borderId="13" xfId="0" applyFont="1" applyBorder="1" applyAlignment="1">
      <alignment horizontal="center" vertical="center"/>
    </xf>
    <xf numFmtId="0" fontId="15" fillId="0" borderId="14"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8" fillId="0" borderId="5" xfId="0" applyFont="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9" fontId="8" fillId="0" borderId="2" xfId="0" applyNumberFormat="1" applyFont="1" applyBorder="1" applyAlignment="1">
      <alignment horizontal="center" vertical="center" wrapText="1"/>
    </xf>
    <xf numFmtId="9" fontId="8" fillId="0" borderId="4" xfId="0" applyNumberFormat="1" applyFont="1" applyBorder="1" applyAlignment="1">
      <alignment horizontal="center" vertical="center" wrapText="1"/>
    </xf>
    <xf numFmtId="0" fontId="35" fillId="0" borderId="14" xfId="0" applyFont="1" applyBorder="1" applyAlignment="1">
      <alignment horizontal="center" vertical="center" wrapText="1"/>
    </xf>
    <xf numFmtId="0" fontId="35" fillId="3" borderId="1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xdr:colOff>
      <xdr:row>24</xdr:row>
      <xdr:rowOff>26670</xdr:rowOff>
    </xdr:from>
    <xdr:to>
      <xdr:col>13</xdr:col>
      <xdr:colOff>8890</xdr:colOff>
      <xdr:row>35</xdr:row>
      <xdr:rowOff>128270</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rcRect r="16057"/>
        <a:stretch>
          <a:fillRect/>
        </a:stretch>
      </xdr:blipFill>
      <xdr:spPr>
        <a:xfrm>
          <a:off x="635" y="5662295"/>
          <a:ext cx="9871922" cy="2080683"/>
        </a:xfrm>
        <a:prstGeom prst="rect">
          <a:avLst/>
        </a:prstGeom>
        <a:noFill/>
        <a:ln w="9525">
          <a:noFill/>
        </a:ln>
      </xdr:spPr>
    </xdr:pic>
    <xdr:clientData/>
  </xdr:twoCellAnchor>
  <xdr:twoCellAnchor editAs="oneCell">
    <xdr:from>
      <xdr:col>8</xdr:col>
      <xdr:colOff>629708</xdr:colOff>
      <xdr:row>0</xdr:row>
      <xdr:rowOff>1661582</xdr:rowOff>
    </xdr:from>
    <xdr:to>
      <xdr:col>21</xdr:col>
      <xdr:colOff>105833</xdr:colOff>
      <xdr:row>10</xdr:row>
      <xdr:rowOff>3174</xdr:rowOff>
    </xdr:to>
    <xdr:pic>
      <xdr:nvPicPr>
        <xdr:cNvPr id="3" name="图片 2">
          <a:extLst>
            <a:ext uri="{FF2B5EF4-FFF2-40B4-BE49-F238E27FC236}">
              <a16:creationId xmlns:a16="http://schemas.microsoft.com/office/drawing/2014/main" id="{816225FA-6700-5440-F6E2-3AE8AC717A3E}"/>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446" t="4119"/>
        <a:stretch/>
      </xdr:blipFill>
      <xdr:spPr bwMode="auto">
        <a:xfrm>
          <a:off x="7106708" y="1661582"/>
          <a:ext cx="8281458" cy="1601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tabSelected="1" zoomScale="120" zoomScaleNormal="120" workbookViewId="0">
      <selection activeCell="B16" sqref="B16:B21"/>
    </sheetView>
  </sheetViews>
  <sheetFormatPr defaultColWidth="8.9140625" defaultRowHeight="14"/>
  <cols>
    <col min="2" max="2" width="12" style="55" customWidth="1"/>
    <col min="3" max="3" width="13.75" style="55" customWidth="1"/>
    <col min="4" max="8" width="10.08203125" style="55" customWidth="1"/>
  </cols>
  <sheetData>
    <row r="1" spans="1:9" ht="148" customHeight="1">
      <c r="A1" s="65" t="s">
        <v>0</v>
      </c>
      <c r="B1" s="64" t="s">
        <v>1</v>
      </c>
      <c r="C1" s="64"/>
      <c r="D1" s="64"/>
      <c r="E1" s="64"/>
      <c r="F1" s="64"/>
      <c r="G1" s="64"/>
      <c r="H1" s="64"/>
      <c r="I1" s="63"/>
    </row>
    <row r="2" spans="1:9" ht="12" customHeight="1">
      <c r="A2" s="65"/>
      <c r="B2" s="56" t="s">
        <v>2</v>
      </c>
      <c r="C2" s="56" t="s">
        <v>3</v>
      </c>
      <c r="D2" s="56" t="s">
        <v>4</v>
      </c>
      <c r="E2" s="56" t="s">
        <v>5</v>
      </c>
      <c r="F2" s="56" t="s">
        <v>6</v>
      </c>
      <c r="G2" s="56" t="s">
        <v>7</v>
      </c>
      <c r="H2" s="56" t="s">
        <v>8</v>
      </c>
    </row>
    <row r="3" spans="1:9" ht="12" customHeight="1">
      <c r="A3" s="65"/>
      <c r="B3" s="66" t="s">
        <v>9</v>
      </c>
      <c r="C3" s="57">
        <v>2021</v>
      </c>
      <c r="D3" s="58">
        <v>1.1000000000000001</v>
      </c>
      <c r="E3" s="57">
        <v>1.2</v>
      </c>
      <c r="F3" s="57">
        <v>1.8</v>
      </c>
      <c r="G3" s="57">
        <v>1.9</v>
      </c>
      <c r="H3" s="57"/>
    </row>
    <row r="4" spans="1:9" ht="12" customHeight="1">
      <c r="A4" s="65"/>
      <c r="B4" s="66"/>
      <c r="C4" s="57">
        <v>2022</v>
      </c>
      <c r="D4" s="57">
        <v>1.1000000000000001</v>
      </c>
      <c r="E4" s="57">
        <v>1.2</v>
      </c>
      <c r="F4" s="57">
        <v>1.8</v>
      </c>
      <c r="G4" s="57"/>
      <c r="H4" s="57"/>
    </row>
    <row r="5" spans="1:9" ht="12" customHeight="1">
      <c r="A5" s="65"/>
      <c r="B5" s="66"/>
      <c r="C5" s="57">
        <v>2023</v>
      </c>
      <c r="D5" s="57">
        <v>1.1000000000000001</v>
      </c>
      <c r="E5" s="57">
        <v>1.1000000000000001</v>
      </c>
      <c r="F5" s="69" t="s">
        <v>10</v>
      </c>
      <c r="G5" s="69"/>
      <c r="H5" s="69"/>
    </row>
    <row r="6" spans="1:9" ht="12" customHeight="1">
      <c r="A6" s="65"/>
      <c r="B6" s="66"/>
      <c r="C6" s="57">
        <v>2024</v>
      </c>
      <c r="D6" s="57">
        <v>0.9</v>
      </c>
      <c r="E6" s="57"/>
      <c r="F6" s="69"/>
      <c r="G6" s="69"/>
      <c r="H6" s="69"/>
    </row>
    <row r="7" spans="1:9" ht="12" customHeight="1">
      <c r="A7" s="65"/>
      <c r="B7" s="66"/>
      <c r="C7" s="57">
        <v>2025</v>
      </c>
      <c r="D7" s="57"/>
      <c r="E7" s="57"/>
      <c r="F7" s="69"/>
      <c r="G7" s="69"/>
      <c r="H7" s="69"/>
    </row>
    <row r="8" spans="1:9" ht="12" customHeight="1">
      <c r="A8" s="65"/>
      <c r="B8" s="66"/>
      <c r="C8" s="57">
        <v>2026</v>
      </c>
      <c r="D8" s="57"/>
      <c r="E8" s="57"/>
      <c r="F8" s="57"/>
      <c r="G8" s="57"/>
      <c r="H8" s="57"/>
    </row>
    <row r="9" spans="1:9" ht="12" customHeight="1">
      <c r="A9" s="65"/>
      <c r="B9" s="66"/>
      <c r="C9" s="58" t="s">
        <v>11</v>
      </c>
      <c r="D9" s="57"/>
      <c r="E9" s="57"/>
      <c r="F9" s="57"/>
      <c r="G9" s="57"/>
      <c r="H9" s="57"/>
    </row>
    <row r="10" spans="1:9" ht="12" customHeight="1">
      <c r="A10" s="65"/>
      <c r="B10" s="82" t="s">
        <v>124</v>
      </c>
      <c r="C10" s="59">
        <v>2021</v>
      </c>
      <c r="D10" s="59">
        <v>1.1000000000000001</v>
      </c>
      <c r="E10" s="59">
        <v>1.2</v>
      </c>
      <c r="F10" s="59">
        <v>1.8</v>
      </c>
      <c r="G10" s="59">
        <v>1.9</v>
      </c>
      <c r="H10" s="59"/>
    </row>
    <row r="11" spans="1:9" ht="12" customHeight="1">
      <c r="A11" s="65"/>
      <c r="B11" s="66"/>
      <c r="C11" s="57">
        <v>2022</v>
      </c>
      <c r="D11" s="57">
        <v>1.1000000000000001</v>
      </c>
      <c r="E11" s="57">
        <v>1.2</v>
      </c>
      <c r="F11" s="57">
        <v>1.8</v>
      </c>
      <c r="G11" s="57"/>
      <c r="H11" s="57"/>
    </row>
    <row r="12" spans="1:9" ht="12" customHeight="1">
      <c r="A12" s="65"/>
      <c r="B12" s="66"/>
      <c r="C12" s="57">
        <v>2023</v>
      </c>
      <c r="D12" s="57">
        <v>1.1000000000000001</v>
      </c>
      <c r="E12" s="57">
        <v>1.1000000000000001</v>
      </c>
      <c r="F12" s="57"/>
      <c r="G12" s="57"/>
      <c r="H12" s="57"/>
    </row>
    <row r="13" spans="1:9" ht="12" customHeight="1">
      <c r="A13" s="65"/>
      <c r="B13" s="66"/>
      <c r="C13" s="57">
        <v>2024</v>
      </c>
      <c r="D13" s="57">
        <v>0.9</v>
      </c>
      <c r="E13" s="57"/>
      <c r="F13" s="57"/>
      <c r="G13" s="57"/>
      <c r="H13" s="57"/>
    </row>
    <row r="14" spans="1:9" ht="12" customHeight="1">
      <c r="A14" s="65"/>
      <c r="B14" s="66"/>
      <c r="C14" s="57">
        <v>2025</v>
      </c>
      <c r="D14" s="57"/>
      <c r="E14" s="57"/>
      <c r="F14" s="57"/>
      <c r="G14" s="57"/>
      <c r="H14" s="57"/>
    </row>
    <row r="15" spans="1:9" ht="12" customHeight="1">
      <c r="A15" s="65"/>
      <c r="B15" s="67"/>
      <c r="C15" s="56">
        <v>2026</v>
      </c>
      <c r="D15" s="56"/>
      <c r="E15" s="56"/>
      <c r="F15" s="56"/>
      <c r="G15" s="56"/>
      <c r="H15" s="56"/>
    </row>
    <row r="16" spans="1:9" ht="12" customHeight="1">
      <c r="A16" s="65"/>
      <c r="B16" s="83" t="s">
        <v>125</v>
      </c>
      <c r="C16" s="61">
        <v>2021</v>
      </c>
      <c r="D16" s="61">
        <v>1.1000000000000001</v>
      </c>
      <c r="E16" s="61">
        <v>1.2</v>
      </c>
      <c r="F16" s="61">
        <v>1.8</v>
      </c>
      <c r="G16" s="61">
        <v>1.9</v>
      </c>
      <c r="H16" s="61"/>
    </row>
    <row r="17" spans="1:8" ht="12" customHeight="1">
      <c r="A17" s="65"/>
      <c r="B17" s="68"/>
      <c r="C17" s="61">
        <v>2022</v>
      </c>
      <c r="D17" s="61">
        <v>1.1000000000000001</v>
      </c>
      <c r="E17" s="61">
        <v>1.2</v>
      </c>
      <c r="F17" s="61">
        <v>1.8</v>
      </c>
      <c r="G17" s="61"/>
      <c r="H17" s="61"/>
    </row>
    <row r="18" spans="1:8" ht="12" customHeight="1">
      <c r="A18" s="65"/>
      <c r="B18" s="68"/>
      <c r="C18" s="61">
        <v>2023</v>
      </c>
      <c r="D18" s="61">
        <v>1.1000000000000001</v>
      </c>
      <c r="E18" s="61">
        <v>1.1000000000000001</v>
      </c>
      <c r="F18" s="61"/>
      <c r="G18" s="61"/>
      <c r="H18" s="61"/>
    </row>
    <row r="19" spans="1:8" ht="12" customHeight="1">
      <c r="A19" s="65"/>
      <c r="B19" s="68"/>
      <c r="C19" s="61">
        <v>2024</v>
      </c>
      <c r="D19" s="61">
        <v>0.9</v>
      </c>
      <c r="E19" s="61"/>
      <c r="F19" s="61"/>
      <c r="G19" s="61"/>
      <c r="H19" s="61"/>
    </row>
    <row r="20" spans="1:8" ht="12" customHeight="1">
      <c r="A20" s="65"/>
      <c r="B20" s="68"/>
      <c r="C20" s="61">
        <v>2025</v>
      </c>
      <c r="D20" s="61"/>
      <c r="E20" s="61"/>
      <c r="F20" s="61"/>
      <c r="G20" s="61"/>
      <c r="H20" s="61"/>
    </row>
    <row r="21" spans="1:8" ht="12" customHeight="1">
      <c r="A21" s="65"/>
      <c r="B21" s="68"/>
      <c r="C21" s="61">
        <v>2026</v>
      </c>
      <c r="D21" s="61"/>
      <c r="E21" s="61"/>
      <c r="F21" s="61"/>
      <c r="G21" s="61"/>
      <c r="H21" s="61"/>
    </row>
    <row r="22" spans="1:8" ht="26" customHeight="1">
      <c r="A22" s="65"/>
      <c r="B22" s="60" t="s">
        <v>12</v>
      </c>
      <c r="C22" s="61"/>
      <c r="D22" s="61"/>
      <c r="E22" s="61"/>
      <c r="F22" s="61"/>
      <c r="G22" s="61"/>
      <c r="H22" s="61"/>
    </row>
    <row r="24" spans="1:8">
      <c r="A24" s="62" t="s">
        <v>13</v>
      </c>
    </row>
  </sheetData>
  <mergeCells count="6">
    <mergeCell ref="B1:H1"/>
    <mergeCell ref="A1:A22"/>
    <mergeCell ref="B3:B9"/>
    <mergeCell ref="B10:B15"/>
    <mergeCell ref="B16:B21"/>
    <mergeCell ref="F5:H7"/>
  </mergeCells>
  <phoneticPr fontId="34" type="noConversion"/>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3"/>
  <sheetViews>
    <sheetView topLeftCell="B1" zoomScale="130" zoomScaleNormal="130" workbookViewId="0">
      <pane xSplit="2" ySplit="1" topLeftCell="D3" activePane="bottomRight" state="frozen"/>
      <selection pane="topRight"/>
      <selection pane="bottomLeft"/>
      <selection pane="bottomRight" activeCell="F5" sqref="F5"/>
    </sheetView>
  </sheetViews>
  <sheetFormatPr defaultColWidth="8.9140625" defaultRowHeight="11.5"/>
  <cols>
    <col min="1" max="1" width="5.25" style="37" customWidth="1"/>
    <col min="2" max="2" width="10.9140625" style="37" customWidth="1"/>
    <col min="3" max="3" width="20.25" style="37" customWidth="1"/>
    <col min="4" max="4" width="47.4140625" style="37" customWidth="1"/>
    <col min="5" max="5" width="8.9140625" style="37"/>
    <col min="6" max="6" width="63.6640625" style="37" customWidth="1"/>
    <col min="7" max="7" width="46.58203125" style="37" customWidth="1"/>
    <col min="8" max="16384" width="8.9140625" style="37"/>
  </cols>
  <sheetData>
    <row r="1" spans="1:16" s="36" customFormat="1" ht="23.4" customHeight="1">
      <c r="A1" s="38" t="s">
        <v>14</v>
      </c>
      <c r="B1" s="38" t="s">
        <v>15</v>
      </c>
      <c r="C1" s="38" t="s">
        <v>16</v>
      </c>
      <c r="D1" s="38" t="s">
        <v>17</v>
      </c>
      <c r="E1" s="38" t="s">
        <v>18</v>
      </c>
      <c r="F1" s="38" t="s">
        <v>19</v>
      </c>
      <c r="G1" s="38" t="s">
        <v>20</v>
      </c>
      <c r="H1" s="39" t="s">
        <v>21</v>
      </c>
      <c r="I1" s="39" t="s">
        <v>22</v>
      </c>
      <c r="J1" s="39" t="s">
        <v>23</v>
      </c>
      <c r="K1" s="54" t="s">
        <v>24</v>
      </c>
      <c r="L1" s="54" t="s">
        <v>25</v>
      </c>
      <c r="M1" s="54" t="s">
        <v>26</v>
      </c>
      <c r="N1" s="54" t="s">
        <v>27</v>
      </c>
      <c r="O1" s="54" t="s">
        <v>28</v>
      </c>
      <c r="P1" s="39" t="s">
        <v>29</v>
      </c>
    </row>
    <row r="2" spans="1:16" ht="69.5">
      <c r="A2" s="40">
        <v>1</v>
      </c>
      <c r="B2" s="70" t="s">
        <v>30</v>
      </c>
      <c r="C2" s="41" t="s">
        <v>31</v>
      </c>
      <c r="D2" s="42" t="s">
        <v>32</v>
      </c>
      <c r="E2" s="40">
        <v>0</v>
      </c>
      <c r="F2" s="43" t="s">
        <v>33</v>
      </c>
      <c r="G2" s="42" t="s">
        <v>34</v>
      </c>
      <c r="H2" s="44" t="s">
        <v>35</v>
      </c>
      <c r="I2" s="44" t="s">
        <v>35</v>
      </c>
      <c r="J2" s="44" t="s">
        <v>35</v>
      </c>
      <c r="K2" s="44" t="s">
        <v>35</v>
      </c>
      <c r="L2" s="44" t="s">
        <v>35</v>
      </c>
      <c r="M2" s="44" t="s">
        <v>35</v>
      </c>
      <c r="N2" s="44" t="s">
        <v>35</v>
      </c>
      <c r="O2" s="45"/>
      <c r="P2" s="45"/>
    </row>
    <row r="3" spans="1:16" ht="69.5">
      <c r="A3" s="40">
        <v>2</v>
      </c>
      <c r="B3" s="70"/>
      <c r="C3" s="40" t="s">
        <v>36</v>
      </c>
      <c r="D3" s="42" t="s">
        <v>37</v>
      </c>
      <c r="E3" s="45" t="s">
        <v>38</v>
      </c>
      <c r="F3" s="42" t="s">
        <v>39</v>
      </c>
      <c r="G3" s="42" t="s">
        <v>40</v>
      </c>
      <c r="H3" s="40"/>
      <c r="I3" s="44" t="s">
        <v>35</v>
      </c>
      <c r="J3" s="44" t="s">
        <v>35</v>
      </c>
      <c r="K3" s="40"/>
      <c r="L3" s="40"/>
      <c r="M3" s="44" t="s">
        <v>35</v>
      </c>
      <c r="N3" s="44" t="s">
        <v>35</v>
      </c>
      <c r="O3" s="44" t="s">
        <v>35</v>
      </c>
      <c r="P3" s="44" t="s">
        <v>35</v>
      </c>
    </row>
    <row r="4" spans="1:16" ht="69.5">
      <c r="A4" s="40">
        <v>3</v>
      </c>
      <c r="B4" s="70"/>
      <c r="C4" s="40" t="s">
        <v>41</v>
      </c>
      <c r="D4" s="42" t="s">
        <v>42</v>
      </c>
      <c r="E4" s="45" t="s">
        <v>43</v>
      </c>
      <c r="F4" s="46" t="s">
        <v>44</v>
      </c>
      <c r="G4" s="42" t="s">
        <v>45</v>
      </c>
      <c r="H4" s="44" t="s">
        <v>35</v>
      </c>
      <c r="I4" s="44" t="s">
        <v>35</v>
      </c>
      <c r="J4" s="44" t="s">
        <v>35</v>
      </c>
      <c r="K4" s="40"/>
      <c r="L4" s="44" t="s">
        <v>35</v>
      </c>
      <c r="M4" s="40"/>
      <c r="N4" s="44" t="s">
        <v>35</v>
      </c>
      <c r="O4" s="40"/>
      <c r="P4" s="40"/>
    </row>
    <row r="5" spans="1:16" ht="78" customHeight="1">
      <c r="A5" s="40">
        <v>4</v>
      </c>
      <c r="B5" s="70"/>
      <c r="C5" s="47" t="s">
        <v>46</v>
      </c>
      <c r="D5" s="48" t="s">
        <v>47</v>
      </c>
      <c r="E5" s="45" t="s">
        <v>48</v>
      </c>
      <c r="F5" s="46" t="s">
        <v>49</v>
      </c>
      <c r="G5" s="42" t="s">
        <v>50</v>
      </c>
      <c r="H5" s="44" t="s">
        <v>35</v>
      </c>
      <c r="I5" s="44" t="s">
        <v>35</v>
      </c>
      <c r="J5" s="44" t="s">
        <v>35</v>
      </c>
      <c r="K5" s="40"/>
      <c r="L5" s="44" t="s">
        <v>35</v>
      </c>
      <c r="M5" s="40"/>
      <c r="N5" s="44" t="s">
        <v>35</v>
      </c>
      <c r="O5" s="40"/>
      <c r="P5" s="40"/>
    </row>
    <row r="6" spans="1:16" ht="69.5">
      <c r="A6" s="40">
        <v>5</v>
      </c>
      <c r="B6" s="70"/>
      <c r="C6" s="40" t="s">
        <v>51</v>
      </c>
      <c r="D6" s="42"/>
      <c r="E6" s="45" t="s">
        <v>52</v>
      </c>
      <c r="F6" s="42" t="s">
        <v>53</v>
      </c>
      <c r="G6" s="42"/>
      <c r="H6" s="40"/>
      <c r="I6" s="40"/>
      <c r="J6" s="40"/>
      <c r="K6" s="40"/>
      <c r="L6" s="40"/>
      <c r="M6" s="40"/>
      <c r="N6" s="40"/>
      <c r="O6" s="40"/>
      <c r="P6" s="44" t="s">
        <v>35</v>
      </c>
    </row>
    <row r="7" spans="1:16" ht="69.5">
      <c r="A7" s="40">
        <v>6</v>
      </c>
      <c r="B7" s="71" t="s">
        <v>54</v>
      </c>
      <c r="C7" s="40" t="s">
        <v>55</v>
      </c>
      <c r="D7" s="42" t="s">
        <v>56</v>
      </c>
      <c r="E7" s="45" t="s">
        <v>57</v>
      </c>
      <c r="F7" s="42" t="s">
        <v>58</v>
      </c>
      <c r="G7" s="42" t="s">
        <v>59</v>
      </c>
      <c r="H7" s="40"/>
      <c r="I7" s="40"/>
      <c r="J7" s="44" t="s">
        <v>35</v>
      </c>
      <c r="K7" s="40"/>
      <c r="L7" s="40"/>
      <c r="M7" s="44" t="s">
        <v>35</v>
      </c>
      <c r="N7" s="44" t="s">
        <v>35</v>
      </c>
      <c r="O7" s="40"/>
      <c r="P7" s="40"/>
    </row>
    <row r="8" spans="1:16" ht="69.5">
      <c r="A8" s="40">
        <v>7</v>
      </c>
      <c r="B8" s="72"/>
      <c r="C8" s="40" t="s">
        <v>60</v>
      </c>
      <c r="D8" s="42" t="s">
        <v>61</v>
      </c>
      <c r="E8" s="45" t="s">
        <v>52</v>
      </c>
      <c r="F8" s="42" t="s">
        <v>62</v>
      </c>
      <c r="G8" s="42" t="s">
        <v>63</v>
      </c>
      <c r="H8" s="40"/>
      <c r="I8" s="40"/>
      <c r="J8" s="44" t="s">
        <v>35</v>
      </c>
      <c r="K8" s="40"/>
      <c r="L8" s="40"/>
      <c r="M8" s="44" t="s">
        <v>35</v>
      </c>
      <c r="N8" s="44" t="s">
        <v>35</v>
      </c>
      <c r="O8" s="40"/>
      <c r="P8" s="40"/>
    </row>
    <row r="9" spans="1:16" ht="69.5">
      <c r="A9" s="40">
        <v>8</v>
      </c>
      <c r="B9" s="73"/>
      <c r="C9" s="40" t="s">
        <v>64</v>
      </c>
      <c r="D9" s="42" t="s">
        <v>65</v>
      </c>
      <c r="E9" s="45">
        <v>1</v>
      </c>
      <c r="F9" s="42" t="s">
        <v>66</v>
      </c>
      <c r="G9" s="42" t="s">
        <v>67</v>
      </c>
      <c r="H9" s="40"/>
      <c r="I9" s="40"/>
      <c r="J9" s="44" t="s">
        <v>35</v>
      </c>
      <c r="K9" s="44" t="s">
        <v>35</v>
      </c>
      <c r="L9" s="44" t="s">
        <v>35</v>
      </c>
      <c r="M9" s="44" t="s">
        <v>35</v>
      </c>
      <c r="N9" s="44" t="s">
        <v>35</v>
      </c>
      <c r="O9" s="40"/>
      <c r="P9" s="40"/>
    </row>
    <row r="10" spans="1:16" ht="69.5">
      <c r="A10" s="40">
        <v>9</v>
      </c>
      <c r="B10" s="40" t="s">
        <v>68</v>
      </c>
      <c r="C10" s="40" t="s">
        <v>69</v>
      </c>
      <c r="D10" s="42" t="s">
        <v>70</v>
      </c>
      <c r="E10" s="45" t="s">
        <v>52</v>
      </c>
      <c r="F10" s="42" t="s">
        <v>71</v>
      </c>
      <c r="G10" s="42" t="s">
        <v>72</v>
      </c>
      <c r="H10" s="40"/>
      <c r="I10" s="40"/>
      <c r="J10" s="44" t="s">
        <v>35</v>
      </c>
      <c r="K10" s="40"/>
      <c r="L10" s="44" t="s">
        <v>35</v>
      </c>
      <c r="M10" s="40"/>
      <c r="N10" s="44" t="s">
        <v>35</v>
      </c>
      <c r="O10" s="40"/>
      <c r="P10" s="40"/>
    </row>
    <row r="11" spans="1:16" ht="69.5">
      <c r="A11" s="40">
        <v>10</v>
      </c>
      <c r="B11" s="40" t="s">
        <v>73</v>
      </c>
      <c r="C11" s="49" t="s">
        <v>74</v>
      </c>
      <c r="D11" s="50"/>
      <c r="E11" s="51" t="s">
        <v>75</v>
      </c>
      <c r="F11" s="52" t="s">
        <v>76</v>
      </c>
      <c r="G11" s="50"/>
      <c r="H11" s="40"/>
      <c r="I11" s="40"/>
      <c r="J11" s="40"/>
      <c r="K11" s="40"/>
      <c r="L11" s="40"/>
      <c r="M11" s="40"/>
      <c r="N11" s="40"/>
      <c r="O11" s="40"/>
      <c r="P11" s="44"/>
    </row>
    <row r="12" spans="1:16" ht="69.5">
      <c r="A12" s="40">
        <v>11</v>
      </c>
      <c r="B12" s="40" t="s">
        <v>77</v>
      </c>
      <c r="C12" s="40" t="s">
        <v>78</v>
      </c>
      <c r="D12" s="42" t="s">
        <v>79</v>
      </c>
      <c r="E12" s="45">
        <v>1</v>
      </c>
      <c r="F12" s="42" t="s">
        <v>80</v>
      </c>
      <c r="G12" s="42" t="s">
        <v>81</v>
      </c>
      <c r="H12" s="40"/>
      <c r="I12" s="40"/>
      <c r="J12" s="44" t="s">
        <v>35</v>
      </c>
      <c r="K12" s="40"/>
      <c r="L12" s="44" t="s">
        <v>35</v>
      </c>
      <c r="M12" s="40"/>
      <c r="N12" s="44" t="s">
        <v>35</v>
      </c>
      <c r="O12" s="40"/>
      <c r="P12" s="44" t="s">
        <v>35</v>
      </c>
    </row>
    <row r="13" spans="1:16" ht="32.4" customHeight="1">
      <c r="B13" s="53" t="s">
        <v>82</v>
      </c>
      <c r="C13" s="40"/>
      <c r="D13" s="40"/>
      <c r="E13" s="40"/>
      <c r="F13" s="40"/>
      <c r="G13" s="40"/>
      <c r="H13" s="45">
        <v>0.2</v>
      </c>
      <c r="I13" s="45">
        <v>0.2</v>
      </c>
      <c r="J13" s="45">
        <v>0.3</v>
      </c>
      <c r="K13" s="45">
        <v>0.1</v>
      </c>
      <c r="L13" s="45">
        <v>0.3</v>
      </c>
      <c r="M13" s="45">
        <v>0.4</v>
      </c>
      <c r="N13" s="45">
        <v>1</v>
      </c>
      <c r="O13" s="45">
        <v>0.1</v>
      </c>
      <c r="P13" s="45">
        <v>0.2</v>
      </c>
    </row>
  </sheetData>
  <mergeCells count="2">
    <mergeCell ref="B2:B6"/>
    <mergeCell ref="B7:B9"/>
  </mergeCells>
  <phoneticPr fontId="3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
  <sheetViews>
    <sheetView topLeftCell="A4" workbookViewId="0">
      <selection activeCell="D5" sqref="D5"/>
    </sheetView>
  </sheetViews>
  <sheetFormatPr defaultColWidth="9" defaultRowHeight="14"/>
  <cols>
    <col min="1" max="1" width="15.25" customWidth="1"/>
    <col min="2" max="2" width="13.75" hidden="1" customWidth="1"/>
    <col min="3" max="3" width="19.08203125" customWidth="1"/>
    <col min="4" max="4" width="23.75" customWidth="1"/>
    <col min="5" max="5" width="40.4140625" customWidth="1"/>
    <col min="6" max="6" width="13.58203125" customWidth="1"/>
    <col min="10" max="10" width="12.25" customWidth="1"/>
    <col min="11" max="11" width="26.33203125" customWidth="1"/>
  </cols>
  <sheetData>
    <row r="1" spans="1:11" ht="16.5">
      <c r="A1" s="1" t="s">
        <v>83</v>
      </c>
      <c r="B1" s="2" t="s">
        <v>84</v>
      </c>
      <c r="C1" s="2" t="s">
        <v>85</v>
      </c>
      <c r="D1" s="2" t="s">
        <v>86</v>
      </c>
      <c r="E1" s="2" t="s">
        <v>87</v>
      </c>
      <c r="F1" s="2" t="s">
        <v>88</v>
      </c>
      <c r="G1" s="2" t="s">
        <v>89</v>
      </c>
      <c r="H1" s="2" t="s">
        <v>90</v>
      </c>
      <c r="I1" s="2" t="s">
        <v>91</v>
      </c>
      <c r="J1" s="28"/>
    </row>
    <row r="2" spans="1:11" ht="52">
      <c r="A2" s="74" t="s">
        <v>92</v>
      </c>
      <c r="B2" s="3" t="s">
        <v>93</v>
      </c>
      <c r="C2" s="4" t="s">
        <v>94</v>
      </c>
      <c r="D2" s="5" t="s">
        <v>95</v>
      </c>
      <c r="E2" s="6" t="s">
        <v>96</v>
      </c>
      <c r="F2" s="7" t="s">
        <v>97</v>
      </c>
      <c r="G2" s="8"/>
      <c r="H2" s="9"/>
      <c r="I2" s="29"/>
      <c r="J2" s="30"/>
      <c r="K2" t="s">
        <v>98</v>
      </c>
    </row>
    <row r="3" spans="1:11" ht="52">
      <c r="A3" s="75"/>
      <c r="B3" s="77" t="s">
        <v>99</v>
      </c>
      <c r="C3" s="10" t="s">
        <v>100</v>
      </c>
      <c r="D3" s="5" t="s">
        <v>101</v>
      </c>
      <c r="E3" s="6" t="s">
        <v>96</v>
      </c>
      <c r="F3" s="11">
        <v>0.2</v>
      </c>
      <c r="G3" s="12">
        <v>0.2</v>
      </c>
      <c r="H3" s="13"/>
      <c r="I3" s="13"/>
      <c r="J3" s="30"/>
      <c r="K3" t="s">
        <v>102</v>
      </c>
    </row>
    <row r="4" spans="1:11" ht="52">
      <c r="A4" s="76"/>
      <c r="B4" s="77"/>
      <c r="C4" s="10" t="s">
        <v>103</v>
      </c>
      <c r="D4" s="14" t="s">
        <v>104</v>
      </c>
      <c r="E4" s="6" t="s">
        <v>96</v>
      </c>
      <c r="F4" s="11">
        <v>0.2</v>
      </c>
      <c r="G4" s="80">
        <v>0.55000000000000004</v>
      </c>
      <c r="H4" s="15"/>
      <c r="I4" s="31"/>
      <c r="J4" s="28"/>
    </row>
    <row r="5" spans="1:11" ht="52">
      <c r="A5" s="74" t="s">
        <v>105</v>
      </c>
      <c r="B5" s="78" t="s">
        <v>106</v>
      </c>
      <c r="C5" s="13" t="s">
        <v>107</v>
      </c>
      <c r="D5" s="14" t="s">
        <v>108</v>
      </c>
      <c r="E5" s="6" t="s">
        <v>96</v>
      </c>
      <c r="F5" s="11">
        <v>0.2</v>
      </c>
      <c r="G5" s="81"/>
      <c r="H5" s="15"/>
      <c r="I5" s="32"/>
      <c r="J5" s="33"/>
    </row>
    <row r="6" spans="1:11" ht="52">
      <c r="A6" s="75"/>
      <c r="B6" s="78"/>
      <c r="C6" s="13" t="s">
        <v>109</v>
      </c>
      <c r="D6" s="14" t="s">
        <v>110</v>
      </c>
      <c r="E6" s="6" t="s">
        <v>96</v>
      </c>
      <c r="F6" s="11">
        <v>0.1</v>
      </c>
      <c r="G6" s="81"/>
      <c r="H6" s="15"/>
      <c r="I6" s="32"/>
      <c r="J6" s="33"/>
    </row>
    <row r="7" spans="1:11" ht="65">
      <c r="A7" s="76"/>
      <c r="B7" s="79"/>
      <c r="C7" s="13" t="s">
        <v>111</v>
      </c>
      <c r="D7" s="14" t="s">
        <v>112</v>
      </c>
      <c r="E7" s="16" t="s">
        <v>113</v>
      </c>
      <c r="F7" s="11">
        <v>0.1</v>
      </c>
      <c r="G7" s="81"/>
      <c r="H7" s="15"/>
      <c r="I7" s="34"/>
      <c r="J7" s="28"/>
    </row>
    <row r="8" spans="1:11" ht="39">
      <c r="A8" s="17" t="s">
        <v>114</v>
      </c>
      <c r="B8" s="10" t="s">
        <v>115</v>
      </c>
      <c r="C8" s="5" t="s">
        <v>116</v>
      </c>
      <c r="D8" s="18" t="s">
        <v>117</v>
      </c>
      <c r="E8" s="19" t="s">
        <v>118</v>
      </c>
      <c r="F8" s="11">
        <v>0.1</v>
      </c>
      <c r="G8" s="20">
        <v>0.15</v>
      </c>
      <c r="H8" s="13"/>
      <c r="I8" s="32"/>
      <c r="J8" s="28"/>
    </row>
    <row r="9" spans="1:11" ht="39">
      <c r="A9" s="21" t="s">
        <v>119</v>
      </c>
      <c r="B9" s="22" t="s">
        <v>120</v>
      </c>
      <c r="C9" s="13" t="s">
        <v>121</v>
      </c>
      <c r="D9" s="18" t="s">
        <v>122</v>
      </c>
      <c r="E9" s="23" t="s">
        <v>123</v>
      </c>
      <c r="F9" s="11">
        <v>0.1</v>
      </c>
      <c r="G9" s="20">
        <v>0.1</v>
      </c>
      <c r="H9" s="24"/>
      <c r="I9" s="13"/>
      <c r="J9" s="28"/>
    </row>
    <row r="10" spans="1:11" ht="16.5">
      <c r="B10" s="25"/>
      <c r="C10" s="25"/>
      <c r="D10" s="25"/>
      <c r="E10" s="26"/>
      <c r="F10" s="27">
        <f>SUM(F2:F9)</f>
        <v>1</v>
      </c>
      <c r="G10" s="27">
        <f>SUM(G3:G9)</f>
        <v>1</v>
      </c>
      <c r="H10" s="24"/>
      <c r="I10" s="35">
        <f>I3*F3+I4*F4+I5*F5+I7*F7+I8*F8+I9*F9</f>
        <v>0</v>
      </c>
      <c r="J10" s="28"/>
    </row>
  </sheetData>
  <mergeCells count="5">
    <mergeCell ref="A2:A4"/>
    <mergeCell ref="A5:A7"/>
    <mergeCell ref="B3:B4"/>
    <mergeCell ref="B5:B7"/>
    <mergeCell ref="G4:G7"/>
  </mergeCells>
  <phoneticPr fontId="3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BCM功能增加</vt:lpstr>
      <vt:lpstr>质量KPI字典</vt:lpstr>
      <vt:lpstr>平衡计分法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Callie Chen</dc:creator>
  <cp:lastModifiedBy>user</cp:lastModifiedBy>
  <dcterms:created xsi:type="dcterms:W3CDTF">2015-06-05T18:19:00Z</dcterms:created>
  <dcterms:modified xsi:type="dcterms:W3CDTF">2024-08-26T17:31:07Z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F2029F6E38144F5F91DE124BD8B0E1EB_13</vt:lpwstr>
  </property>
  <property fmtid="{D5CDD505-2E9C-101B-9397-08002B2CF9AE}" pid="3" name="KSOProductBuildVer">
    <vt:lpwstr>2052-12.1.0.17857</vt:lpwstr>
  </property>
</Properties>
</file>
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文件\系统文档\不良率\"/>
    </mc:Choice>
  </mc:AlternateContent>
  <xr:revisionPtr revIDLastSave="0" documentId="13_ncr:1_{ACCEAE78-0B7F-440D-95B2-AA9BD364485C}" xr6:coauthVersionLast="47" xr6:coauthVersionMax="47" xr10:uidLastSave="{00000000-0000-0000-0000-000000000000}"/>
  <bookViews>
    <workbookView xWindow="33030" yWindow="2880" windowWidth="24030" windowHeight="12555" xr2:uid="{00000000-000D-0000-FFFF-FFFF00000000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G9" i="2"/>
  <c r="O25" i="2"/>
  <c r="L24" i="2"/>
  <c r="M24" i="2" s="1"/>
  <c r="L23" i="2"/>
  <c r="M23" i="2" s="1"/>
  <c r="L22" i="2"/>
  <c r="M22" i="2" s="1"/>
  <c r="O21" i="2"/>
  <c r="O22" i="2"/>
  <c r="O23" i="2"/>
  <c r="O24" i="2"/>
  <c r="L21" i="2"/>
  <c r="M21" i="2" s="1"/>
  <c r="K9" i="2"/>
  <c r="M14" i="2"/>
  <c r="M13" i="2"/>
  <c r="M12" i="2"/>
  <c r="M11" i="2"/>
  <c r="M8" i="2"/>
  <c r="M7" i="2"/>
  <c r="M6" i="2"/>
  <c r="O15" i="2"/>
  <c r="O9" i="2"/>
  <c r="O11" i="2"/>
  <c r="O12" i="2"/>
  <c r="O13" i="2"/>
  <c r="O14" i="2"/>
  <c r="O6" i="2"/>
  <c r="O7" i="2"/>
  <c r="O8" i="2"/>
  <c r="K25" i="2"/>
  <c r="J25" i="2"/>
  <c r="I25" i="2"/>
  <c r="H25" i="2"/>
  <c r="G25" i="2"/>
  <c r="F25" i="2"/>
  <c r="H9" i="2" l="1"/>
  <c r="I9" i="2"/>
  <c r="J9" i="2"/>
  <c r="F9" i="2"/>
  <c r="M9" i="2" s="1"/>
  <c r="H15" i="2"/>
  <c r="I15" i="2"/>
  <c r="J15" i="2"/>
  <c r="K15" i="2"/>
  <c r="G15" i="2"/>
  <c r="F15" i="2"/>
  <c r="O20" i="2" l="1"/>
  <c r="L20" i="2"/>
  <c r="L25" i="2" s="1"/>
  <c r="M25" i="2" s="1"/>
  <c r="O10" i="2"/>
  <c r="L10" i="2"/>
  <c r="O5" i="2"/>
  <c r="M5" i="2" l="1"/>
  <c r="M10" i="2"/>
  <c r="L15" i="2"/>
  <c r="M15" i="2" s="1"/>
  <c r="M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jianghl</author>
  </authors>
  <commentList>
    <comment ref="L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jianghl:</t>
        </r>
        <r>
          <rPr>
            <sz val="9"/>
            <color indexed="81"/>
            <rFont val="宋体"/>
            <family val="3"/>
            <charset val="134"/>
          </rPr>
          <t xml:space="preserve">
实际返厂+介质保留</t>
        </r>
      </text>
    </comment>
  </commentList>
</comments>
</file>

<file path=xl/sharedStrings.xml><?xml version="1.0" encoding="utf-8"?>
<sst xmlns="http://schemas.openxmlformats.org/spreadsheetml/2006/main" count="137" uniqueCount="62">
  <si>
    <t>不良比对</t>
    <phoneticPr fontId="2" type="noConversion"/>
  </si>
  <si>
    <t>↑高</t>
    <phoneticPr fontId="2" type="noConversion"/>
  </si>
  <si>
    <t>厦门市公安局JZ大数据项-报修不良分析</t>
    <phoneticPr fontId="2" type="noConversion"/>
  </si>
  <si>
    <t>故障件物料号</t>
    <phoneticPr fontId="2" type="noConversion"/>
  </si>
  <si>
    <t>故障件名称</t>
    <phoneticPr fontId="2" type="noConversion"/>
  </si>
  <si>
    <t>销量</t>
    <phoneticPr fontId="2" type="noConversion"/>
  </si>
  <si>
    <t>报修数量</t>
    <phoneticPr fontId="2" type="noConversion"/>
  </si>
  <si>
    <t>实际返厂</t>
    <phoneticPr fontId="2" type="noConversion"/>
  </si>
  <si>
    <t>介质保留</t>
    <phoneticPr fontId="2" type="noConversion"/>
  </si>
  <si>
    <t>未复现故障</t>
    <phoneticPr fontId="2" type="noConversion"/>
  </si>
  <si>
    <t>实际故障</t>
    <phoneticPr fontId="2" type="noConversion"/>
  </si>
  <si>
    <t>实际不良率</t>
    <phoneticPr fontId="2" type="noConversion"/>
  </si>
  <si>
    <t>供应商理论不良率</t>
    <phoneticPr fontId="2" type="noConversion"/>
  </si>
  <si>
    <t>实际故障/销量</t>
    <phoneticPr fontId="2" type="noConversion"/>
  </si>
  <si>
    <t>302-000288</t>
  </si>
  <si>
    <t>硬盘背板</t>
  </si>
  <si>
    <t>302-000565</t>
  </si>
  <si>
    <t>HDD硬盘</t>
  </si>
  <si>
    <t>汇总</t>
    <phoneticPr fontId="2" type="noConversion"/>
  </si>
  <si>
    <t>按整体报故物料统计</t>
    <phoneticPr fontId="2" type="noConversion"/>
  </si>
  <si>
    <t>故障件物料号</t>
    <phoneticPr fontId="2" type="noConversion"/>
  </si>
  <si>
    <t>销量</t>
    <phoneticPr fontId="2" type="noConversion"/>
  </si>
  <si>
    <t>报修数量</t>
    <phoneticPr fontId="2" type="noConversion"/>
  </si>
  <si>
    <t>实际返厂</t>
    <phoneticPr fontId="2" type="noConversion"/>
  </si>
  <si>
    <t>介质保留</t>
    <phoneticPr fontId="2" type="noConversion"/>
  </si>
  <si>
    <t>实际故障</t>
    <phoneticPr fontId="2" type="noConversion"/>
  </si>
  <si>
    <t>供应商理论不良率</t>
    <phoneticPr fontId="2" type="noConversion"/>
  </si>
  <si>
    <t>↓低</t>
    <phoneticPr fontId="2" type="noConversion"/>
  </si>
  <si>
    <t>供应理论不良率-实际不良率对比</t>
    <phoneticPr fontId="2" type="noConversion"/>
  </si>
  <si>
    <t>实际更换</t>
    <phoneticPr fontId="1" type="noConversion"/>
  </si>
  <si>
    <t>取测试结论为“故障件未复现故障”</t>
    <phoneticPr fontId="2" type="noConversion"/>
  </si>
  <si>
    <t>销售年份</t>
    <phoneticPr fontId="1" type="noConversion"/>
  </si>
  <si>
    <t>物料描述</t>
    <phoneticPr fontId="1" type="noConversion"/>
  </si>
  <si>
    <t>硬盘背板-RH2288H V3-BC11THBQB</t>
  </si>
  <si>
    <t>汇总</t>
    <phoneticPr fontId="1" type="noConversion"/>
  </si>
  <si>
    <t>硬盘4T-SATA 6Gb/s-7.2K 3.5及托 XJ</t>
  </si>
  <si>
    <t>硬盘4T-SATA 6Gb/s-7.2K 3.6及托 XJ</t>
  </si>
  <si>
    <t>硬盘4T-SATA 6Gb/s-7.2K 3.7及托 XJ</t>
  </si>
  <si>
    <t>硬盘4T-SATA 6Gb/s-7.2K 3.8及托 XJ</t>
  </si>
  <si>
    <t>硬盘4T-SATA 6Gb/s-7.2K 3.9及托 XJ</t>
  </si>
  <si>
    <t>取bcm计算收发件表中“报修物料号”</t>
    <phoneticPr fontId="2" type="noConversion"/>
  </si>
  <si>
    <t>取bcm计算收发件表中“备件名称”</t>
    <phoneticPr fontId="2" type="noConversion"/>
  </si>
  <si>
    <t>关联溯源系统--服务器-BOM组件信息--对应“故障件物料号”抓取“物料描述”</t>
    <phoneticPr fontId="1" type="noConversion"/>
  </si>
  <si>
    <t>取bcm计算收发件表中“备件名称”</t>
  </si>
  <si>
    <t>抓取故障件物料号，抓取故障件物料号溯源系统-服务器-BOM组件信息，对齐“销量”交付年份</t>
    <phoneticPr fontId="1" type="noConversion"/>
  </si>
  <si>
    <t>按项目名称或立项编号统计</t>
    <phoneticPr fontId="2" type="noConversion"/>
  </si>
  <si>
    <t xml:space="preserve">1.以整年查询的销量开始时间与销量截止时间做筛选(如2021,2022…2025)；
2.溯源系统--计算产品--服务器BOM-组件信息，以物料代码302-000288求和所有该物料号下销量；
</t>
    <phoneticPr fontId="2" type="noConversion"/>
  </si>
  <si>
    <t>以故障件物料号为参考，比对不良率报表--供应商平均不良率--服务器供应商平均不良率</t>
    <phoneticPr fontId="1" type="noConversion"/>
  </si>
  <si>
    <t>抓取故障件物料号溯源系统-服务器-BOM组件信息，项目名称为“厦门市公安局JZ大数据项”，对齐“服务开始时间”交付年份</t>
    <phoneticPr fontId="1" type="noConversion"/>
  </si>
  <si>
    <t>1.取该项目所有“故障件物料号”报修工单数量
2.主权去计算收发货表“整机SN",对齐溯源系统整机存量信息的“服务开始时间”年份</t>
    <phoneticPr fontId="2" type="noConversion"/>
  </si>
  <si>
    <t>硬件更换不良率</t>
  </si>
  <si>
    <t>硬件更换不良率</t>
    <phoneticPr fontId="1" type="noConversion"/>
  </si>
  <si>
    <t>实际更换/销量</t>
    <phoneticPr fontId="1" type="noConversion"/>
  </si>
  <si>
    <r>
      <t>比照故障件物料号，取值计算收发货表</t>
    </r>
    <r>
      <rPr>
        <b/>
        <sz val="11"/>
        <color rgb="FFFF0000"/>
        <rFont val="等线"/>
        <family val="3"/>
        <charset val="134"/>
        <scheme val="minor"/>
      </rPr>
      <t>返回件类型</t>
    </r>
    <r>
      <rPr>
        <b/>
        <sz val="11"/>
        <color theme="1"/>
        <rFont val="等线"/>
        <family val="3"/>
        <charset val="134"/>
        <scheme val="minor"/>
      </rPr>
      <t>为故障件、工厂补发新件、介质保留之和</t>
    </r>
    <phoneticPr fontId="2" type="noConversion"/>
  </si>
  <si>
    <r>
      <t>取</t>
    </r>
    <r>
      <rPr>
        <b/>
        <sz val="11"/>
        <color rgb="FFFF0000"/>
        <rFont val="等线"/>
        <family val="3"/>
        <charset val="134"/>
        <scheme val="minor"/>
      </rPr>
      <t>测试结论</t>
    </r>
    <r>
      <rPr>
        <b/>
        <sz val="11"/>
        <color theme="1"/>
        <rFont val="等线"/>
        <family val="3"/>
        <charset val="134"/>
        <scheme val="minor"/>
      </rPr>
      <t>这一列为“介质保留”</t>
    </r>
    <phoneticPr fontId="2" type="noConversion"/>
  </si>
  <si>
    <t>1.取所有“故障件物料号”报修工单数量
2.取计算收发货表“整机SN",对齐溯源系统整机存量信息的“服务开始时间”年份</t>
    <phoneticPr fontId="2" type="noConversion"/>
  </si>
  <si>
    <r>
      <t>比照故障件物料号，取值计算收发货表</t>
    </r>
    <r>
      <rPr>
        <b/>
        <sz val="11"/>
        <color rgb="FFFF0000"/>
        <rFont val="等线"/>
        <family val="3"/>
        <charset val="134"/>
        <scheme val="minor"/>
      </rPr>
      <t>返厂时间</t>
    </r>
    <r>
      <rPr>
        <b/>
        <sz val="11"/>
        <color theme="1"/>
        <rFont val="等线"/>
        <family val="3"/>
        <charset val="134"/>
        <scheme val="minor"/>
      </rPr>
      <t>不为空值的和</t>
    </r>
    <phoneticPr fontId="2" type="noConversion"/>
  </si>
  <si>
    <t xml:space="preserve">A.对于是否项增配为“否"时：
1.溯源系统筛选需要计算不良率的项目名称，按整年销量开始时间做统计(如2021,2022…2025)；
2.以溯源系统--计算产品--服务器BOM-组件信息，以物料代码302-000288求和所有该物料号下销量；
B.对于是否项增配为“是"时：
1.溯源系统筛选增配项目名字段为需要计算不良率的项目名称，按整年销量开始时间做统计(如2021,2022…2025)；
2.以溯源系统--计算产品--服务器BOM-组件信息，搜索增配整机项目名为需求项目名，再以物料代码302-000288求和所有该物料号下销量；
</t>
    <phoneticPr fontId="1" type="noConversion"/>
  </si>
  <si>
    <t>比照故障件物料号，取值计算收发货表测试结论为故障件确认故障、介质保留、新件测试正常、新件测试故障与新件存在故障之和</t>
    <phoneticPr fontId="1" type="noConversion"/>
  </si>
  <si>
    <t>匹配项目名或立项编号</t>
    <phoneticPr fontId="2" type="noConversion"/>
  </si>
  <si>
    <t xml:space="preserve">取bcm计算收发件表中“报修物料号”；
</t>
    <phoneticPr fontId="2" type="noConversion"/>
  </si>
  <si>
    <t>项目名称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</si>
</sst>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top"/>
    </xf>
    <xf numFmtId="0" fontId="4" fillId="0" borderId="1" xfId="0" applyFont="1" applyBorder="1" applyAlignment="1"/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0" fillId="4" borderId="0" xfId="0" applyFill="1" applyAlignment="1">
      <alignment horizontal="left" indent="1"/>
    </xf>
    <xf numFmtId="0" fontId="0" fillId="4" borderId="0" xfId="0" applyFill="1" applyAlignment="1">
      <alignment horizontal="center"/>
    </xf>
    <xf numFmtId="10" fontId="0" fillId="4" borderId="0" xfId="0" applyNumberForma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4" borderId="1" xfId="0" applyFont="1" applyFill="1" applyBorder="1" applyAlignme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10" fillId="0" borderId="1" xfId="0" applyFont="1" applyBorder="1" applyAlignment="1">
      <alignment horizontal="left" indent="1"/>
    </xf>
    <xf numFmtId="0" fontId="10" fillId="4" borderId="1" xfId="0" applyFont="1" applyFill="1" applyBorder="1" applyAlignment="1">
      <alignment horizontal="left" inden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19981;&#33391;&#29575;&#25968;&#25454;&#31995;&#32479;&#27979;&#35797;&#39564;&#35777;\&#26381;&#21153;&#22120;-&#20379;&#24212;&#21830;&#24179;&#22343;&#19981;&#33391;&#29575;&#25968;&#25454;2023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物料代码</v>
          </cell>
          <cell r="B1" t="str">
            <v>名称</v>
          </cell>
          <cell r="C1" t="str">
            <v>物料描述</v>
          </cell>
          <cell r="D1" t="str">
            <v>供应商平均不良率</v>
          </cell>
        </row>
        <row r="2">
          <cell r="A2" t="str">
            <v>302-000053</v>
          </cell>
          <cell r="B2" t="str">
            <v>SSD固态盘</v>
          </cell>
          <cell r="C2" t="str">
            <v>固态盘-480G-SATA PM883 2.5(3.5托)</v>
          </cell>
          <cell r="D2">
            <v>1.5E-3</v>
          </cell>
        </row>
        <row r="3">
          <cell r="A3" t="str">
            <v>302-000041</v>
          </cell>
          <cell r="B3" t="str">
            <v>SSD固态盘</v>
          </cell>
          <cell r="C3" t="str">
            <v>固态盘-480G-SATA PM883 2.5及托架</v>
          </cell>
          <cell r="D3">
            <v>1.5E-3</v>
          </cell>
        </row>
        <row r="4">
          <cell r="A4" t="str">
            <v>302-000087</v>
          </cell>
          <cell r="B4" t="str">
            <v>SSD固态盘</v>
          </cell>
          <cell r="C4" t="str">
            <v>固态盘ES3510SV5读取7680G SAS 2.5(3.5托)</v>
          </cell>
          <cell r="D4">
            <v>1.09E-2</v>
          </cell>
        </row>
        <row r="5">
          <cell r="A5" t="str">
            <v>302-000063</v>
          </cell>
          <cell r="B5" t="str">
            <v>SSD固态盘</v>
          </cell>
          <cell r="C5" t="str">
            <v>固态盘-3840G-SATA PM883 2.5及托架</v>
          </cell>
          <cell r="D5">
            <v>1.09E-2</v>
          </cell>
        </row>
        <row r="6">
          <cell r="A6" t="str">
            <v>302-001670</v>
          </cell>
          <cell r="B6" t="str">
            <v>SSD固态盘</v>
          </cell>
          <cell r="C6" t="str">
            <v>SSD PM893读取-1.92TB-SATA 2.5无托</v>
          </cell>
          <cell r="D6">
            <v>1.09E-2</v>
          </cell>
        </row>
        <row r="7">
          <cell r="A7" t="str">
            <v>302-001122</v>
          </cell>
          <cell r="B7" t="str">
            <v>SSD固态盘</v>
          </cell>
          <cell r="C7" t="str">
            <v>SSD UH810a读取-7.68TB-NVMe 2.5无托U.2</v>
          </cell>
          <cell r="D7">
            <v>4.4000000000000003E-3</v>
          </cell>
        </row>
        <row r="8">
          <cell r="A8" t="str">
            <v>302-000523</v>
          </cell>
          <cell r="B8" t="str">
            <v>SSD固态盘</v>
          </cell>
          <cell r="C8" t="str">
            <v>固态盘-3840G-NVMe 读取PM983 2.5托架</v>
          </cell>
          <cell r="D8">
            <v>1.09E-2</v>
          </cell>
        </row>
        <row r="9">
          <cell r="A9" t="str">
            <v>302-000057</v>
          </cell>
          <cell r="B9" t="str">
            <v>SSD固态盘</v>
          </cell>
          <cell r="C9" t="str">
            <v>固态盘-960G-SATA PM883 2.5(3.5托)</v>
          </cell>
          <cell r="D9">
            <v>1.5E-3</v>
          </cell>
        </row>
        <row r="10">
          <cell r="A10" t="str">
            <v>302-001165</v>
          </cell>
          <cell r="B10" t="str">
            <v>SSD固态盘</v>
          </cell>
          <cell r="C10" t="str">
            <v>SSD PM883读取-1.92TB-SATA 2.5无托</v>
          </cell>
          <cell r="D10">
            <v>1E-4</v>
          </cell>
        </row>
        <row r="11">
          <cell r="A11" t="str">
            <v>302-000045</v>
          </cell>
          <cell r="B11" t="str">
            <v>SSD固态盘</v>
          </cell>
          <cell r="C11" t="str">
            <v>固态盘-960G-SATA PM883 2.5及托架</v>
          </cell>
          <cell r="D11">
            <v>1.5E-3</v>
          </cell>
        </row>
        <row r="12">
          <cell r="A12" t="str">
            <v>302-000037</v>
          </cell>
          <cell r="B12" t="str">
            <v>SSD固态盘</v>
          </cell>
          <cell r="C12" t="str">
            <v>固态盘-240G-SATA 6Gb/s-2.5及3.5托</v>
          </cell>
          <cell r="D12">
            <v>1.09E-2</v>
          </cell>
        </row>
        <row r="13">
          <cell r="A13" t="str">
            <v>302-000864</v>
          </cell>
          <cell r="B13" t="str">
            <v>SSD固态盘</v>
          </cell>
          <cell r="C13" t="str">
            <v>固态盘-3840G-SATA PM883 2.5无托</v>
          </cell>
          <cell r="D13">
            <v>1E-4</v>
          </cell>
        </row>
        <row r="14">
          <cell r="A14" t="str">
            <v>302-000051</v>
          </cell>
          <cell r="B14" t="str">
            <v>SSD固态盘</v>
          </cell>
          <cell r="C14" t="str">
            <v>固态盘-480G-SATA SM883 2.5(3.5托)</v>
          </cell>
          <cell r="D14">
            <v>1.09E-2</v>
          </cell>
        </row>
        <row r="15">
          <cell r="A15" t="str">
            <v>302-000741</v>
          </cell>
          <cell r="B15" t="str">
            <v>SSD固态盘</v>
          </cell>
          <cell r="C15" t="str">
            <v>SSD-480G-SATA DSS200-B 2.5无托DT</v>
          </cell>
          <cell r="D15">
            <v>5.0000000000000001E-3</v>
          </cell>
        </row>
        <row r="16">
          <cell r="A16" t="str">
            <v>302-001016</v>
          </cell>
          <cell r="B16" t="str">
            <v>SSD固态盘</v>
          </cell>
          <cell r="C16" t="str">
            <v>SSD-960G-SATA PM883 2.5无托</v>
          </cell>
          <cell r="D16">
            <v>1E-4</v>
          </cell>
        </row>
        <row r="17">
          <cell r="A17" t="str">
            <v>302-000750</v>
          </cell>
          <cell r="B17" t="str">
            <v>SSD固态盘</v>
          </cell>
          <cell r="C17" t="str">
            <v>SSD-960GB-SATA-PM883 2.5无托</v>
          </cell>
          <cell r="D17">
            <v>1E-4</v>
          </cell>
        </row>
        <row r="18">
          <cell r="A18" t="str">
            <v>302-001346</v>
          </cell>
          <cell r="B18" t="str">
            <v>SSD固态盘</v>
          </cell>
          <cell r="C18" t="str">
            <v>SSD ES3521A V6读取-480G-SATA 2.5及托</v>
          </cell>
          <cell r="D18">
            <v>1.09E-2</v>
          </cell>
        </row>
        <row r="19">
          <cell r="A19" t="str">
            <v>302-001147</v>
          </cell>
          <cell r="B19" t="str">
            <v>SSD固态盘</v>
          </cell>
          <cell r="C19" t="str">
            <v>SSD 5300 PRO读取-480GB-SATA 2.5寸无托</v>
          </cell>
          <cell r="D19">
            <v>1E-3</v>
          </cell>
        </row>
        <row r="20">
          <cell r="A20" t="str">
            <v>302-001121</v>
          </cell>
          <cell r="B20" t="str">
            <v>SSD固态盘</v>
          </cell>
          <cell r="C20" t="str">
            <v>SSD UH830a读写-3.2TB-NVMe 2.5无托U.2</v>
          </cell>
          <cell r="D20">
            <v>4.4000000000000003E-3</v>
          </cell>
        </row>
        <row r="21">
          <cell r="A21" t="str">
            <v>302-001007</v>
          </cell>
          <cell r="B21" t="str">
            <v>SSD固态盘</v>
          </cell>
          <cell r="C21" t="str">
            <v>SSD-480G-SATA PM883 2.5无托-tky</v>
          </cell>
          <cell r="D21">
            <v>1E-4</v>
          </cell>
        </row>
        <row r="22">
          <cell r="A22" t="str">
            <v>302-001335</v>
          </cell>
          <cell r="B22" t="str">
            <v>SSD固态盘</v>
          </cell>
          <cell r="C22" t="str">
            <v>SSD PM983读取-3.84TB-NVMe 2.5无托</v>
          </cell>
          <cell r="D22">
            <v>1E-4</v>
          </cell>
        </row>
        <row r="23">
          <cell r="A23" t="str">
            <v>302-000381</v>
          </cell>
          <cell r="B23" t="str">
            <v>光模块</v>
          </cell>
          <cell r="C23" t="str">
            <v>XGIGA光模块-SFP+-10G-多模850nm,0.3km,LC</v>
          </cell>
          <cell r="D23">
            <v>3.5E-4</v>
          </cell>
        </row>
        <row r="24">
          <cell r="A24" t="str">
            <v>302-000174</v>
          </cell>
          <cell r="B24" t="str">
            <v>光模块</v>
          </cell>
          <cell r="C24" t="str">
            <v>光模块-SFP+-10G-多模(850nm,0.3km,LC)</v>
          </cell>
          <cell r="D24">
            <v>7.3000000000000001E-3</v>
          </cell>
        </row>
        <row r="25">
          <cell r="A25" t="str">
            <v>302-001799</v>
          </cell>
          <cell r="B25" t="str">
            <v>光模块</v>
          </cell>
          <cell r="C25" t="str">
            <v>光模块-SFP28-25G-多模(850nm,0.1km,LC)</v>
          </cell>
          <cell r="D25">
            <v>7.3000000000000001E-3</v>
          </cell>
        </row>
        <row r="26">
          <cell r="A26" t="str">
            <v>302-000176</v>
          </cell>
          <cell r="B26" t="str">
            <v>光模块</v>
          </cell>
          <cell r="C26" t="str">
            <v>光模块25GBase-SR-SFP28-25G多模模块</v>
          </cell>
          <cell r="D26">
            <v>5.0000000000000001E-3</v>
          </cell>
        </row>
        <row r="27">
          <cell r="A27" t="str">
            <v>302-000184</v>
          </cell>
          <cell r="B27" t="str">
            <v>电源</v>
          </cell>
          <cell r="C27" t="str">
            <v>2000W 交流电源模块</v>
          </cell>
          <cell r="D27">
            <v>1.4999999999999999E-2</v>
          </cell>
        </row>
        <row r="28">
          <cell r="A28" t="str">
            <v>302-001170</v>
          </cell>
          <cell r="B28" t="str">
            <v>电源</v>
          </cell>
          <cell r="C28" t="str">
            <v>PAC900S12-B2-服务器白金900W交流电源</v>
          </cell>
          <cell r="D28">
            <v>1.4999999999999999E-2</v>
          </cell>
        </row>
        <row r="29">
          <cell r="A29" t="str">
            <v>302-000183</v>
          </cell>
          <cell r="B29" t="str">
            <v>电源</v>
          </cell>
          <cell r="C29" t="str">
            <v>900W 交流电源</v>
          </cell>
          <cell r="D29">
            <v>0.02</v>
          </cell>
        </row>
        <row r="30">
          <cell r="A30" t="str">
            <v>302-000448</v>
          </cell>
          <cell r="B30" t="str">
            <v>电源</v>
          </cell>
          <cell r="C30" t="str">
            <v>服务器白金900W B版本交流电源</v>
          </cell>
          <cell r="D30">
            <v>0.02</v>
          </cell>
        </row>
        <row r="31">
          <cell r="A31" t="str">
            <v>302-000248</v>
          </cell>
          <cell r="B31" t="str">
            <v>电源线</v>
          </cell>
          <cell r="C31" t="str">
            <v>制式电源线-交流250V10A-1.5m-(C13直母)</v>
          </cell>
          <cell r="D31">
            <v>2E-3</v>
          </cell>
        </row>
        <row r="32">
          <cell r="A32" t="str">
            <v>302-001041</v>
          </cell>
          <cell r="B32" t="str">
            <v>HDD硬盘</v>
          </cell>
          <cell r="C32" t="str">
            <v>硬盘600G-SAS 12Gb/s-10K-2.5无托 DZ</v>
          </cell>
          <cell r="D32">
            <v>3.3E-3</v>
          </cell>
        </row>
        <row r="33">
          <cell r="A33" t="str">
            <v>302-000643</v>
          </cell>
          <cell r="B33" t="str">
            <v>HDD硬盘</v>
          </cell>
          <cell r="C33" t="str">
            <v>硬盘600G-SAS 12Gb/s-10K-2.5及3.5托 XJ</v>
          </cell>
          <cell r="D33">
            <v>1.5E-3</v>
          </cell>
        </row>
        <row r="34">
          <cell r="A34" t="str">
            <v>302-000647</v>
          </cell>
          <cell r="B34" t="str">
            <v>HDD硬盘</v>
          </cell>
          <cell r="C34" t="str">
            <v>硬盘6T-SATA 6Gb/s-7.2K-3.5及托 XS</v>
          </cell>
          <cell r="D34">
            <v>1.5E-3</v>
          </cell>
        </row>
        <row r="35">
          <cell r="A35" t="str">
            <v>302-000109</v>
          </cell>
          <cell r="B35" t="str">
            <v>HDD硬盘</v>
          </cell>
          <cell r="C35" t="str">
            <v>硬盘6T-SATA 6Gb/s-7.2K-3.5及托</v>
          </cell>
          <cell r="D35">
            <v>1.5E-3</v>
          </cell>
        </row>
        <row r="36">
          <cell r="A36" t="str">
            <v>302-001241</v>
          </cell>
          <cell r="B36" t="str">
            <v>HDD硬盘</v>
          </cell>
          <cell r="C36" t="str">
            <v>硬盘8T-SATA 6Gb/s-7.2K-3.5及托 XS</v>
          </cell>
          <cell r="D36">
            <v>3.0000000000000001E-3</v>
          </cell>
        </row>
        <row r="37">
          <cell r="A37" t="str">
            <v>302-000591</v>
          </cell>
          <cell r="B37" t="str">
            <v>HDD硬盘</v>
          </cell>
          <cell r="C37" t="str">
            <v>硬盘10T-SATA 6Gb/s-7.2K-3.5及托 XJ</v>
          </cell>
          <cell r="D37">
            <v>1.5E-3</v>
          </cell>
        </row>
        <row r="38">
          <cell r="A38" t="str">
            <v>302-000625</v>
          </cell>
          <cell r="B38" t="str">
            <v>HDD硬盘</v>
          </cell>
          <cell r="C38" t="str">
            <v>硬盘1200G-SAS 12Gb/s-10K-2.5及托 XJ</v>
          </cell>
          <cell r="D38">
            <v>1.5E-3</v>
          </cell>
        </row>
        <row r="39">
          <cell r="A39" t="str">
            <v>302-000781</v>
          </cell>
          <cell r="B39" t="str">
            <v>HDD硬盘</v>
          </cell>
          <cell r="C39" t="str">
            <v>硬盘2400G-SAS 12Gb/s-10K 2.5无托 DZ</v>
          </cell>
          <cell r="D39">
            <v>3.3E-3</v>
          </cell>
        </row>
        <row r="40">
          <cell r="A40" t="str">
            <v>302-000586</v>
          </cell>
          <cell r="B40" t="str">
            <v>HDD硬盘</v>
          </cell>
          <cell r="C40" t="str">
            <v>硬盘10T-SATA 6Gb/s-7.2K-3.5及托 DZ</v>
          </cell>
          <cell r="D40">
            <v>1.5E-3</v>
          </cell>
        </row>
        <row r="41">
          <cell r="A41" t="str">
            <v>302-000611</v>
          </cell>
          <cell r="B41" t="str">
            <v>HDD硬盘</v>
          </cell>
          <cell r="C41" t="str">
            <v>硬盘1800G-SAS 12Gb/s-10K 2.5及托 DZ</v>
          </cell>
          <cell r="D41">
            <v>1.5E-3</v>
          </cell>
        </row>
        <row r="42">
          <cell r="A42" t="str">
            <v>302-000584</v>
          </cell>
          <cell r="B42" t="str">
            <v>HDD硬盘</v>
          </cell>
          <cell r="C42" t="str">
            <v>硬盘10T-SATA 6Gb/s-7.2K-3.5及托 XS</v>
          </cell>
          <cell r="D42">
            <v>1.5E-3</v>
          </cell>
        </row>
        <row r="43">
          <cell r="A43" t="str">
            <v>302-000577</v>
          </cell>
          <cell r="B43" t="str">
            <v>HDD硬盘</v>
          </cell>
          <cell r="C43" t="str">
            <v>硬盘16T-SATA 6Gb/s-7.2K-3.5及托 XJ</v>
          </cell>
          <cell r="D43">
            <v>1.5E-3</v>
          </cell>
        </row>
        <row r="44">
          <cell r="A44" t="str">
            <v>302-001039</v>
          </cell>
          <cell r="B44" t="str">
            <v>HDD硬盘</v>
          </cell>
          <cell r="C44" t="str">
            <v>硬盘1800G-SAS 12Gb/s-10K-2.5无托 DZ</v>
          </cell>
          <cell r="D44">
            <v>3.3E-3</v>
          </cell>
        </row>
        <row r="45">
          <cell r="A45" t="str">
            <v>302-000780</v>
          </cell>
          <cell r="B45" t="str">
            <v>HDD硬盘</v>
          </cell>
          <cell r="C45" t="str">
            <v>硬盘900G-SAS 12Gb/s-10K 2.5无托 DZ</v>
          </cell>
          <cell r="D45">
            <v>3.3E-3</v>
          </cell>
        </row>
        <row r="46">
          <cell r="A46" t="str">
            <v>302-001056</v>
          </cell>
          <cell r="B46" t="str">
            <v>HDD硬盘</v>
          </cell>
          <cell r="C46" t="str">
            <v>硬盘2400G-SAS 12Gb/s-10K-2.5无托 XJ</v>
          </cell>
          <cell r="D46">
            <v>1.09E-2</v>
          </cell>
        </row>
        <row r="47">
          <cell r="A47" t="str">
            <v>302-001163</v>
          </cell>
          <cell r="B47" t="str">
            <v>HDD硬盘</v>
          </cell>
          <cell r="C47" t="str">
            <v>硬盘16T-SATA 6Gb/s-7.2K-3.5无托 DZ</v>
          </cell>
          <cell r="D47">
            <v>3.3E-3</v>
          </cell>
        </row>
        <row r="48">
          <cell r="A48" t="str">
            <v>302-000602</v>
          </cell>
          <cell r="B48" t="str">
            <v>HDD硬盘</v>
          </cell>
          <cell r="C48" t="str">
            <v>硬盘2400G-SAS 12Gb/s-10K-2.5及托 XJ</v>
          </cell>
          <cell r="D48">
            <v>1.5E-3</v>
          </cell>
        </row>
        <row r="49">
          <cell r="A49" t="str">
            <v>302-000565</v>
          </cell>
          <cell r="B49" t="str">
            <v>HDD硬盘</v>
          </cell>
          <cell r="C49" t="str">
            <v>硬盘4T-SATA 6Gb/s-7.2K 3.5及托 XJ</v>
          </cell>
          <cell r="D49">
            <v>1.5E-3</v>
          </cell>
        </row>
        <row r="50">
          <cell r="A50" t="str">
            <v>302-000792</v>
          </cell>
          <cell r="B50" t="str">
            <v>HDD硬盘</v>
          </cell>
          <cell r="C50" t="str">
            <v>硬盘4T-SATA 6Gb/s-7.2K 3.5无托 DZ</v>
          </cell>
          <cell r="D50">
            <v>3.3E-3</v>
          </cell>
        </row>
        <row r="51">
          <cell r="A51" t="str">
            <v>302-000125</v>
          </cell>
          <cell r="B51" t="str">
            <v>HDD硬盘</v>
          </cell>
          <cell r="C51" t="str">
            <v>硬盘1800G-SAS 12Gb/s-10K-2.5及3.5托</v>
          </cell>
          <cell r="D51">
            <v>1.5E-3</v>
          </cell>
        </row>
        <row r="52">
          <cell r="A52" t="str">
            <v>302-000117</v>
          </cell>
          <cell r="B52" t="str">
            <v>HDD硬盘</v>
          </cell>
          <cell r="C52" t="str">
            <v>硬盘600G-SAS 12Gb/s-10K-2.5及3.5托</v>
          </cell>
          <cell r="D52">
            <v>1.5E-3</v>
          </cell>
        </row>
        <row r="53">
          <cell r="A53" t="str">
            <v>302-000637</v>
          </cell>
          <cell r="B53" t="str">
            <v>HDD硬盘</v>
          </cell>
          <cell r="C53" t="str">
            <v>硬盘600G-SAS 12Gb/s-10K-2.5及托 XJ</v>
          </cell>
          <cell r="D53">
            <v>1.5E-3</v>
          </cell>
        </row>
        <row r="54">
          <cell r="A54" t="str">
            <v>302-000642</v>
          </cell>
          <cell r="B54" t="str">
            <v>HDD硬盘</v>
          </cell>
          <cell r="C54" t="str">
            <v>硬盘600G-SAS 12Gb/s-10K-2.5及3.5托 DZ</v>
          </cell>
          <cell r="D54">
            <v>1.5E-3</v>
          </cell>
        </row>
        <row r="55">
          <cell r="A55" t="str">
            <v>302-001043</v>
          </cell>
          <cell r="B55" t="str">
            <v>HDD硬盘</v>
          </cell>
          <cell r="C55" t="str">
            <v>硬盘8T-SATA 6Gb/s-7.2K-3.5无托 DZ</v>
          </cell>
          <cell r="D55">
            <v>3.3E-3</v>
          </cell>
        </row>
        <row r="56">
          <cell r="A56" t="str">
            <v>302-000622</v>
          </cell>
          <cell r="B56" t="str">
            <v>HDD硬盘</v>
          </cell>
          <cell r="C56" t="str">
            <v>硬盘1200G-SAS 12Gb/s-10K-2.5及托 备 XJ</v>
          </cell>
          <cell r="D56">
            <v>1.5E-3</v>
          </cell>
        </row>
        <row r="57">
          <cell r="A57" t="str">
            <v>302-000107</v>
          </cell>
          <cell r="B57" t="str">
            <v>HDD硬盘</v>
          </cell>
          <cell r="C57" t="str">
            <v>硬盘4T-SATA 6Gb/s-7.2K 3.5及托</v>
          </cell>
          <cell r="D57">
            <v>1.5E-3</v>
          </cell>
        </row>
        <row r="58">
          <cell r="A58" t="str">
            <v>302-001049</v>
          </cell>
          <cell r="B58" t="str">
            <v>HDD硬盘</v>
          </cell>
          <cell r="C58" t="str">
            <v>硬盘4T-SATA 6Gb/s-7.2K 3.5无托 DZ</v>
          </cell>
          <cell r="D58">
            <v>3.3E-3</v>
          </cell>
        </row>
        <row r="59">
          <cell r="A59" t="str">
            <v>302-000111</v>
          </cell>
          <cell r="B59" t="str">
            <v>HDD硬盘</v>
          </cell>
          <cell r="C59" t="str">
            <v>硬盘8T-SATA 6Gb/s-7.2K-3.5及托</v>
          </cell>
          <cell r="D59">
            <v>1.5E-3</v>
          </cell>
        </row>
        <row r="60">
          <cell r="A60" t="str">
            <v>302-000121</v>
          </cell>
          <cell r="B60" t="str">
            <v>HDD硬盘</v>
          </cell>
          <cell r="C60" t="str">
            <v>硬盘1200G-SAS 12Gb/s-10K-2.5及3.5托</v>
          </cell>
          <cell r="D60">
            <v>1.5E-3</v>
          </cell>
        </row>
        <row r="61">
          <cell r="A61" t="str">
            <v>302-000127</v>
          </cell>
          <cell r="B61" t="str">
            <v>HDD硬盘</v>
          </cell>
          <cell r="C61" t="str">
            <v>硬盘1800G-SAS 12Gb/s-10K 2.5及托</v>
          </cell>
          <cell r="D61">
            <v>1.5E-3</v>
          </cell>
        </row>
        <row r="62">
          <cell r="A62" t="str">
            <v>302-000123</v>
          </cell>
          <cell r="B62" t="str">
            <v>HDD硬盘</v>
          </cell>
          <cell r="C62" t="str">
            <v>硬盘1200G-SAS 12Gb/s-10K-2.5及托 XJ</v>
          </cell>
          <cell r="D62">
            <v>1.5E-3</v>
          </cell>
        </row>
        <row r="63">
          <cell r="A63" t="str">
            <v>302-000113</v>
          </cell>
          <cell r="B63" t="str">
            <v>HDD硬盘</v>
          </cell>
          <cell r="C63" t="str">
            <v>硬盘10T-SATA 6Gb/s-7.2K-3.5及托 XS</v>
          </cell>
          <cell r="D63">
            <v>1.5E-3</v>
          </cell>
        </row>
        <row r="64">
          <cell r="A64" t="str">
            <v>302-000619</v>
          </cell>
          <cell r="B64" t="str">
            <v>HDD硬盘</v>
          </cell>
          <cell r="C64" t="str">
            <v>硬盘1800G-SAS 12Gb/s-10K-2.5及3.5托 XJ</v>
          </cell>
          <cell r="D64">
            <v>1.5E-3</v>
          </cell>
        </row>
        <row r="65">
          <cell r="A65" t="str">
            <v>302-000115</v>
          </cell>
          <cell r="B65" t="str">
            <v>HDD硬盘</v>
          </cell>
          <cell r="C65" t="str">
            <v>硬盘16T-SATA 6Gb/s-7.2K-3.5及托</v>
          </cell>
          <cell r="D65">
            <v>1.5E-3</v>
          </cell>
        </row>
        <row r="66">
          <cell r="A66" t="str">
            <v>302-000737</v>
          </cell>
          <cell r="B66" t="str">
            <v>HDD硬盘</v>
          </cell>
          <cell r="C66" t="str">
            <v>硬盘12T-SATA 6Gb/s-7.2K 3.5无托 XJ</v>
          </cell>
          <cell r="D66">
            <v>1E-3</v>
          </cell>
        </row>
        <row r="67">
          <cell r="A67" t="str">
            <v>302-001065</v>
          </cell>
          <cell r="B67" t="str">
            <v>HDD硬盘</v>
          </cell>
          <cell r="C67" t="str">
            <v>硬盘8T-SATA 6Gb/s-7.2K-3.5及托 XJ</v>
          </cell>
          <cell r="D67">
            <v>1.5E-3</v>
          </cell>
        </row>
        <row r="68">
          <cell r="A68" t="str">
            <v>302-000592</v>
          </cell>
          <cell r="B68" t="str">
            <v>HDD硬盘</v>
          </cell>
          <cell r="C68" t="str">
            <v>硬盘8T-SATA 6Gb/s-7.2K-3.5及托 XJ</v>
          </cell>
          <cell r="D68">
            <v>1.5E-3</v>
          </cell>
        </row>
        <row r="69">
          <cell r="A69" t="str">
            <v>302-000673</v>
          </cell>
          <cell r="B69" t="str">
            <v>HDD硬盘</v>
          </cell>
          <cell r="C69" t="str">
            <v>硬盘14T-SATA 6Gb/s-7.2K-3.5及托 XS</v>
          </cell>
          <cell r="D69">
            <v>1.5E-3</v>
          </cell>
        </row>
        <row r="70">
          <cell r="A70" t="str">
            <v>302-000587</v>
          </cell>
          <cell r="B70" t="str">
            <v>HDD硬盘</v>
          </cell>
          <cell r="C70" t="str">
            <v>硬盘8T-SATA 6Gb/s-7.2K-3.5及托 备 XJ</v>
          </cell>
          <cell r="D70">
            <v>1.5E-3</v>
          </cell>
        </row>
        <row r="71">
          <cell r="A71" t="str">
            <v>302-000631</v>
          </cell>
          <cell r="B71" t="str">
            <v>HDD硬盘</v>
          </cell>
          <cell r="C71" t="str">
            <v>硬盘1200G-SAS 12Gb/s-10K-2.5及3.5托 XJ</v>
          </cell>
          <cell r="D71">
            <v>1.5E-3</v>
          </cell>
        </row>
        <row r="72">
          <cell r="A72" t="str">
            <v>302-000612</v>
          </cell>
          <cell r="B72" t="str">
            <v>HDD硬盘</v>
          </cell>
          <cell r="C72" t="str">
            <v>硬盘1800G-SAS 12Gb/s-10K 2.5及托 XJ</v>
          </cell>
          <cell r="D72">
            <v>1.5E-3</v>
          </cell>
        </row>
        <row r="73">
          <cell r="A73" t="str">
            <v>302-001040</v>
          </cell>
          <cell r="B73" t="str">
            <v>HDD硬盘</v>
          </cell>
          <cell r="C73" t="str">
            <v>硬盘1200G-SAS 12Gb/s-10K-2.5无托 DZ</v>
          </cell>
          <cell r="D73">
            <v>3.3E-3</v>
          </cell>
        </row>
        <row r="74">
          <cell r="A74" t="str">
            <v>302-000361</v>
          </cell>
          <cell r="B74" t="str">
            <v>HDD硬盘</v>
          </cell>
          <cell r="C74" t="str">
            <v>硬盘14T-SATA 6Gb/s-7.2K-3.5托 备</v>
          </cell>
          <cell r="D74">
            <v>1.5E-3</v>
          </cell>
        </row>
        <row r="75">
          <cell r="A75" t="str">
            <v>302-000609</v>
          </cell>
          <cell r="B75" t="str">
            <v>HDD硬盘</v>
          </cell>
          <cell r="C75" t="str">
            <v>硬盘1800G-SAS 12Gb/s-10K-2.5及托 备 XJ</v>
          </cell>
          <cell r="D75">
            <v>1.5E-3</v>
          </cell>
        </row>
        <row r="76">
          <cell r="A76" t="str">
            <v>302-000646</v>
          </cell>
          <cell r="B76" t="str">
            <v>HDD硬盘</v>
          </cell>
          <cell r="C76" t="str">
            <v>硬盘6T-SATA 6Gb/s-7.2K-3.5及托 XJ</v>
          </cell>
          <cell r="D76">
            <v>1.5E-3</v>
          </cell>
        </row>
        <row r="77">
          <cell r="A77" t="str">
            <v>302-001672</v>
          </cell>
          <cell r="B77" t="str">
            <v>HDD硬盘</v>
          </cell>
          <cell r="C77" t="str">
            <v>硬盘8T-SATA 6Gb/s-7.2K-3.5无托 DZ</v>
          </cell>
          <cell r="D77">
            <v>1.09E-2</v>
          </cell>
        </row>
        <row r="78">
          <cell r="A78" t="str">
            <v>302-000775</v>
          </cell>
          <cell r="B78" t="str">
            <v>SSD固态盘</v>
          </cell>
          <cell r="C78" t="str">
            <v>SSD-480G-SATA PM883 2.5无托</v>
          </cell>
          <cell r="D78">
            <v>1E-3</v>
          </cell>
        </row>
        <row r="79">
          <cell r="A79" t="str">
            <v>302-000996</v>
          </cell>
          <cell r="B79" t="str">
            <v>SSD固态盘</v>
          </cell>
          <cell r="C79" t="str">
            <v>SSD PM983读取-3840G-NVMe 2.5无托</v>
          </cell>
          <cell r="D79">
            <v>1E-4</v>
          </cell>
        </row>
        <row r="80">
          <cell r="A80" t="str">
            <v>302-000899</v>
          </cell>
          <cell r="B80" t="str">
            <v>SSD固态盘</v>
          </cell>
          <cell r="C80" t="str">
            <v>SSD PM1733读取-1.92TB-NVMe 2.5无托企业级</v>
          </cell>
          <cell r="D80">
            <v>1E-4</v>
          </cell>
        </row>
        <row r="81">
          <cell r="A81" t="str">
            <v>302-001800</v>
          </cell>
          <cell r="B81" t="str">
            <v>SSD固态盘</v>
          </cell>
          <cell r="C81" t="str">
            <v>SSD 华电DGC63256S3I27SD1-256G-SATA</v>
          </cell>
          <cell r="D81">
            <v>1.09E-2</v>
          </cell>
        </row>
        <row r="82">
          <cell r="A82" t="str">
            <v>302-001349</v>
          </cell>
          <cell r="B82" t="str">
            <v>SSD固态盘</v>
          </cell>
          <cell r="C82" t="str">
            <v>SSD ES3521A V6读取-960G-SATA 2.5及托</v>
          </cell>
          <cell r="D82">
            <v>1E-3</v>
          </cell>
        </row>
        <row r="83">
          <cell r="A83" t="str">
            <v>302-001352</v>
          </cell>
          <cell r="B83" t="str">
            <v>SSD固态盘</v>
          </cell>
          <cell r="C83" t="str">
            <v>SSD ES3521A V6读取-960G-SATA 2.5(3.5托)</v>
          </cell>
          <cell r="D83">
            <v>1E-3</v>
          </cell>
        </row>
        <row r="84">
          <cell r="A84" t="str">
            <v>302-000736</v>
          </cell>
          <cell r="B84" t="str">
            <v>SSD固态盘</v>
          </cell>
          <cell r="C84" t="str">
            <v>SSD Memblaze D526读写3.2TB NVMe 2.5无托</v>
          </cell>
          <cell r="D84">
            <v>3.5000000000000001E-3</v>
          </cell>
        </row>
        <row r="85">
          <cell r="A85" t="str">
            <v>302-001592</v>
          </cell>
          <cell r="B85" t="str">
            <v>主板</v>
          </cell>
          <cell r="C85" t="str">
            <v>S主板S920X00-7260-AH 2*(920,64C)1710 R1</v>
          </cell>
          <cell r="D85">
            <v>3.0000000000000001E-3</v>
          </cell>
        </row>
        <row r="86">
          <cell r="A86" t="str">
            <v>302-001877</v>
          </cell>
          <cell r="B86" t="str">
            <v>主板</v>
          </cell>
          <cell r="C86" t="str">
            <v>S主板S920X00-7265F-AH-2*64C@3.0G-16DIMM</v>
          </cell>
          <cell r="D86">
            <v>3.0000000000000001E-3</v>
          </cell>
        </row>
        <row r="87">
          <cell r="A87" t="str">
            <v>302-000507</v>
          </cell>
          <cell r="B87" t="str">
            <v>主板</v>
          </cell>
          <cell r="C87" t="str">
            <v>S主板 S920S00-5220 2*920,32C</v>
          </cell>
          <cell r="D87">
            <v>3.0000000000000001E-3</v>
          </cell>
        </row>
        <row r="88">
          <cell r="A88" t="str">
            <v>302-001347</v>
          </cell>
          <cell r="B88" t="str">
            <v>主板</v>
          </cell>
          <cell r="C88" t="str">
            <v>S主板 S920S00-5220-AF 2*(920,32C)1711-3A</v>
          </cell>
          <cell r="D88">
            <v>8.5000000000000006E-3</v>
          </cell>
        </row>
        <row r="89">
          <cell r="A89" t="str">
            <v>302-001599</v>
          </cell>
          <cell r="B89" t="str">
            <v>主板</v>
          </cell>
          <cell r="C89" t="str">
            <v>S主板S920X00K-7261K-AH2*(920,64C)1711R1</v>
          </cell>
          <cell r="D89">
            <v>8.5000000000000006E-3</v>
          </cell>
        </row>
        <row r="90">
          <cell r="A90" t="str">
            <v>302-000707</v>
          </cell>
          <cell r="B90" t="str">
            <v>主板</v>
          </cell>
          <cell r="C90" t="str">
            <v>S主板 S920S00-3210-AF 2*（920,24C）04.1</v>
          </cell>
          <cell r="D90">
            <v>3.0000000000000001E-3</v>
          </cell>
        </row>
        <row r="91">
          <cell r="A91" t="str">
            <v>302-001710</v>
          </cell>
          <cell r="B91" t="str">
            <v>主板</v>
          </cell>
          <cell r="C91" t="str">
            <v>S主板S920X00-7260-2*(920,64C)1711</v>
          </cell>
          <cell r="D91">
            <v>3.0000000000000001E-3</v>
          </cell>
        </row>
        <row r="92">
          <cell r="A92" t="str">
            <v>302-000712</v>
          </cell>
          <cell r="B92" t="str">
            <v>主板</v>
          </cell>
          <cell r="C92" t="str">
            <v>S主板 S920X00-7260-AH 2*（920,64C）04.1</v>
          </cell>
          <cell r="D92">
            <v>3.0000000000000001E-3</v>
          </cell>
        </row>
        <row r="93">
          <cell r="A93" t="str">
            <v>302-000706</v>
          </cell>
          <cell r="B93" t="str">
            <v>主板</v>
          </cell>
          <cell r="C93" t="str">
            <v>S主板 S920X00K-7261K-AH 2*（920,64C)04.1</v>
          </cell>
          <cell r="D93">
            <v>3.0000000000000001E-3</v>
          </cell>
        </row>
        <row r="94">
          <cell r="A94" t="str">
            <v>302-000002</v>
          </cell>
          <cell r="B94" t="str">
            <v>主板</v>
          </cell>
          <cell r="C94" t="str">
            <v>S主板 S920X00-5230 2*920,32C</v>
          </cell>
          <cell r="D94">
            <v>3.0000000000000001E-3</v>
          </cell>
        </row>
        <row r="95">
          <cell r="A95" t="str">
            <v>302-000665</v>
          </cell>
          <cell r="B95" t="str">
            <v>主板</v>
          </cell>
          <cell r="C95" t="str">
            <v>S主板 S920X00-5230-AE 2*（920,32C）</v>
          </cell>
          <cell r="D95">
            <v>3.0000000000000001E-3</v>
          </cell>
        </row>
        <row r="96">
          <cell r="A96" t="str">
            <v>302-000371</v>
          </cell>
          <cell r="B96" t="str">
            <v>主板</v>
          </cell>
          <cell r="C96" t="str">
            <v>S主板 S920X00K-7261K-AD 2*920,64C</v>
          </cell>
          <cell r="D96">
            <v>0.01</v>
          </cell>
        </row>
        <row r="97">
          <cell r="A97" t="str">
            <v>302-000704</v>
          </cell>
          <cell r="B97" t="str">
            <v>主板</v>
          </cell>
          <cell r="C97" t="str">
            <v>S主板 S920X00K-5251K-AH 2*（920,48C)04.1</v>
          </cell>
          <cell r="D97">
            <v>3.0000000000000001E-3</v>
          </cell>
        </row>
        <row r="98">
          <cell r="A98" t="str">
            <v>302-000349</v>
          </cell>
          <cell r="B98" t="str">
            <v>主板</v>
          </cell>
          <cell r="C98" t="str">
            <v>S主板 S920X00K-5251K-AD 2*920,48C</v>
          </cell>
          <cell r="D98">
            <v>0.01</v>
          </cell>
        </row>
        <row r="99">
          <cell r="A99" t="str">
            <v>302-000711</v>
          </cell>
          <cell r="B99" t="str">
            <v>主板</v>
          </cell>
          <cell r="C99" t="str">
            <v>S主板 S920X00-5250-AH 2*（920,48C）04.1</v>
          </cell>
          <cell r="D99">
            <v>3.0000000000000001E-3</v>
          </cell>
        </row>
        <row r="100">
          <cell r="A100" t="str">
            <v>302-000001</v>
          </cell>
          <cell r="B100" t="str">
            <v>主板</v>
          </cell>
          <cell r="C100" t="str">
            <v>S主板 S920X00-5250 2*920,48C</v>
          </cell>
          <cell r="D100">
            <v>3.0000000000000001E-3</v>
          </cell>
        </row>
        <row r="101">
          <cell r="A101" t="str">
            <v>302-000006</v>
          </cell>
          <cell r="B101" t="str">
            <v>主板</v>
          </cell>
          <cell r="C101" t="str">
            <v>S主板S920S00-5220 2*920,32C</v>
          </cell>
          <cell r="D101">
            <v>3.0000000000000001E-3</v>
          </cell>
        </row>
        <row r="102">
          <cell r="A102" t="str">
            <v>302-000708</v>
          </cell>
          <cell r="B102" t="str">
            <v>主板</v>
          </cell>
          <cell r="C102" t="str">
            <v>S主板 S920S00-5220-AF 2*（920,32C）04.1</v>
          </cell>
          <cell r="D102">
            <v>3.0000000000000001E-3</v>
          </cell>
        </row>
        <row r="103">
          <cell r="A103" t="str">
            <v>302-001593</v>
          </cell>
          <cell r="B103" t="str">
            <v>主板</v>
          </cell>
          <cell r="C103" t="str">
            <v>S主板S920X00-5250-AH 2*(920,48C)1710 R2</v>
          </cell>
          <cell r="D103">
            <v>3.0000000000000001E-3</v>
          </cell>
        </row>
        <row r="104">
          <cell r="A104" t="str">
            <v>302-001003</v>
          </cell>
          <cell r="B104" t="str">
            <v>主板</v>
          </cell>
          <cell r="C104" t="str">
            <v>S主板 S920S00K-5221K-AF 2*(920,32C) 1711</v>
          </cell>
          <cell r="D104">
            <v>3.0000000000000001E-3</v>
          </cell>
        </row>
        <row r="105">
          <cell r="A105" t="str">
            <v>302-001555</v>
          </cell>
          <cell r="B105" t="str">
            <v>主板</v>
          </cell>
          <cell r="C105" t="str">
            <v>S916X00 2* (鲲鹏916,32C,8DIMM)</v>
          </cell>
          <cell r="D105">
            <v>1.4999999999999999E-2</v>
          </cell>
        </row>
        <row r="106">
          <cell r="A106" t="str">
            <v>302-001598</v>
          </cell>
          <cell r="B106" t="str">
            <v>主板</v>
          </cell>
          <cell r="C106" t="str">
            <v>主板S920X00K-5251K-AH 2*(920,48C)1711R2</v>
          </cell>
          <cell r="D106">
            <v>3.0000000000000001E-3</v>
          </cell>
        </row>
        <row r="107">
          <cell r="A107" t="str">
            <v>302-000354</v>
          </cell>
          <cell r="B107" t="str">
            <v>主板</v>
          </cell>
          <cell r="C107" t="str">
            <v>S主板 S920X00-7260-AE 2*920,64C</v>
          </cell>
          <cell r="D107">
            <v>3.0000000000000001E-3</v>
          </cell>
        </row>
        <row r="108">
          <cell r="A108" t="str">
            <v>302-001616</v>
          </cell>
          <cell r="B108" t="str">
            <v>主板</v>
          </cell>
          <cell r="C108" t="str">
            <v>S主板 S920X00-5250-BB 2*(920,48C) 1711</v>
          </cell>
          <cell r="D108">
            <v>8.5000000000000006E-3</v>
          </cell>
        </row>
        <row r="109">
          <cell r="A109" t="str">
            <v>302-000286</v>
          </cell>
          <cell r="B109" t="str">
            <v>风扇</v>
          </cell>
          <cell r="C109" t="str">
            <v>风扇</v>
          </cell>
          <cell r="D109">
            <v>0.01</v>
          </cell>
        </row>
        <row r="110">
          <cell r="A110" t="str">
            <v>302-000287</v>
          </cell>
          <cell r="B110" t="str">
            <v>风扇</v>
          </cell>
          <cell r="C110" t="str">
            <v>风扇</v>
          </cell>
          <cell r="D110">
            <v>1E-3</v>
          </cell>
        </row>
        <row r="111">
          <cell r="A111" t="str">
            <v>302-000434</v>
          </cell>
          <cell r="B111" t="str">
            <v>风扇</v>
          </cell>
          <cell r="C111" t="str">
            <v>风扇</v>
          </cell>
          <cell r="D111">
            <v>1E-3</v>
          </cell>
        </row>
        <row r="112">
          <cell r="A112" t="str">
            <v>302-001655</v>
          </cell>
          <cell r="B112" t="str">
            <v>电容</v>
          </cell>
          <cell r="C112" t="str">
            <v>3508/3516 RAID卡超级电容</v>
          </cell>
          <cell r="D112">
            <v>3.2000000000000002E-3</v>
          </cell>
        </row>
        <row r="113">
          <cell r="A113" t="str">
            <v>302-000140</v>
          </cell>
          <cell r="B113" t="str">
            <v>电容</v>
          </cell>
          <cell r="C113" t="str">
            <v>3508/3516 RAID卡超级电容</v>
          </cell>
          <cell r="D113">
            <v>0.02</v>
          </cell>
        </row>
        <row r="114">
          <cell r="A114" t="str">
            <v>302-000146</v>
          </cell>
          <cell r="B114" t="str">
            <v>硬盘背板</v>
          </cell>
          <cell r="C114" t="str">
            <v>硬盘背板组件 PSU 4*2.5寸支持NVME</v>
          </cell>
          <cell r="D114">
            <v>1E-3</v>
          </cell>
        </row>
        <row r="115">
          <cell r="A115" t="str">
            <v>302-000289</v>
          </cell>
          <cell r="B115" t="str">
            <v>硬盘背板</v>
          </cell>
          <cell r="C115" t="str">
            <v>硬盘背板</v>
          </cell>
          <cell r="D115">
            <v>1E-3</v>
          </cell>
        </row>
        <row r="116">
          <cell r="A116" t="str">
            <v>302-000296</v>
          </cell>
          <cell r="B116" t="str">
            <v>硬盘背板</v>
          </cell>
          <cell r="C116" t="str">
            <v>12*3.5英寸硬盘背板-BC82HBBC</v>
          </cell>
          <cell r="D116">
            <v>0.01</v>
          </cell>
        </row>
        <row r="117">
          <cell r="A117" t="str">
            <v>302-000288</v>
          </cell>
          <cell r="B117" t="str">
            <v>硬盘背板</v>
          </cell>
          <cell r="C117" t="str">
            <v>硬盘背板-RH2288H V3-BC11THBQB</v>
          </cell>
          <cell r="D117">
            <v>1E-3</v>
          </cell>
        </row>
        <row r="118">
          <cell r="A118" t="str">
            <v>302-000290</v>
          </cell>
          <cell r="B118" t="str">
            <v>硬盘背板</v>
          </cell>
          <cell r="C118" t="str">
            <v>硬盘背板-2288H V5-BC11THBS</v>
          </cell>
          <cell r="D118">
            <v>1E-3</v>
          </cell>
        </row>
        <row r="119">
          <cell r="A119" t="str">
            <v>302-000325</v>
          </cell>
          <cell r="B119" t="str">
            <v>RAID卡</v>
          </cell>
          <cell r="C119" t="str">
            <v>RAID扣卡 SR450C 2GB(Avago3508)</v>
          </cell>
          <cell r="D119">
            <v>1.4999999999999999E-2</v>
          </cell>
        </row>
        <row r="120">
          <cell r="A120" t="str">
            <v>302-001582</v>
          </cell>
          <cell r="B120" t="str">
            <v>RAID卡</v>
          </cell>
          <cell r="C120" t="str">
            <v>9440-8i RAID标卡-PCIE 3.0 X8 -no cache</v>
          </cell>
          <cell r="D120">
            <v>7.7999999999999996E-3</v>
          </cell>
        </row>
        <row r="121">
          <cell r="A121" t="str">
            <v>302-000134</v>
          </cell>
          <cell r="B121" t="str">
            <v>RAID卡</v>
          </cell>
          <cell r="C121" t="str">
            <v>RAID扣卡 SR450C-M 2G(Avago3508)</v>
          </cell>
          <cell r="D121">
            <v>1.5E-3</v>
          </cell>
        </row>
        <row r="122">
          <cell r="A122" t="str">
            <v>302-000136</v>
          </cell>
          <cell r="B122" t="str">
            <v>RAID卡</v>
          </cell>
          <cell r="C122" t="str">
            <v>RAID标卡-2GB 9460-8i-PCIe</v>
          </cell>
          <cell r="D122">
            <v>1.5E-3</v>
          </cell>
        </row>
        <row r="123">
          <cell r="A123" t="str">
            <v>302-001048</v>
          </cell>
          <cell r="B123" t="str">
            <v>RAID卡</v>
          </cell>
          <cell r="C123" t="str">
            <v>RAID标卡-2GB 9460-8i-PCIe</v>
          </cell>
          <cell r="D123">
            <v>3.0000000000000001E-3</v>
          </cell>
        </row>
        <row r="124">
          <cell r="A124" t="str">
            <v>302-001066</v>
          </cell>
          <cell r="B124" t="str">
            <v>RAID卡</v>
          </cell>
          <cell r="C124" t="str">
            <v>RAID标卡-2GB 9460-8i-PCIe</v>
          </cell>
          <cell r="D124">
            <v>1.5E-3</v>
          </cell>
        </row>
        <row r="125">
          <cell r="A125" t="str">
            <v>302-000139</v>
          </cell>
          <cell r="B125" t="str">
            <v>RAID卡</v>
          </cell>
          <cell r="C125" t="str">
            <v>RAID标卡-2GB SmartRAID 3152-8i 含btry</v>
          </cell>
          <cell r="D125">
            <v>1.5E-3</v>
          </cell>
        </row>
        <row r="126">
          <cell r="A126" t="str">
            <v>302-000686</v>
          </cell>
          <cell r="B126" t="str">
            <v>RAID卡</v>
          </cell>
          <cell r="C126" t="str">
            <v>RAID扣卡 SR430C(LSI3108)-2GB Cache</v>
          </cell>
          <cell r="D126">
            <v>7.7999999999999996E-3</v>
          </cell>
        </row>
        <row r="127">
          <cell r="A127" t="str">
            <v>302-001332</v>
          </cell>
          <cell r="B127" t="str">
            <v>RAID卡</v>
          </cell>
          <cell r="C127" t="str">
            <v>RAID标卡-2GB 9460-8i-PCIe</v>
          </cell>
          <cell r="D127">
            <v>7.7999999999999996E-3</v>
          </cell>
        </row>
        <row r="128">
          <cell r="A128" t="str">
            <v>302-001705</v>
          </cell>
          <cell r="B128" t="str">
            <v>RAID卡</v>
          </cell>
          <cell r="C128" t="str">
            <v>RAID标卡 9560-8i-4G Cache</v>
          </cell>
          <cell r="D128">
            <v>7.7999999999999996E-3</v>
          </cell>
        </row>
        <row r="129">
          <cell r="A129" t="str">
            <v>302-001715</v>
          </cell>
          <cell r="B129" t="str">
            <v>内存</v>
          </cell>
          <cell r="C129" t="str">
            <v>S内存DDR4-32G-2933-2Rank(2G*4bit) HLS</v>
          </cell>
          <cell r="D129">
            <v>4.4000000000000003E-3</v>
          </cell>
        </row>
        <row r="130">
          <cell r="A130" t="str">
            <v>302-001644</v>
          </cell>
          <cell r="B130" t="str">
            <v>内存</v>
          </cell>
          <cell r="C130" t="str">
            <v>S内存DDR4-32GB-3200-2Rank(2G*4bit) HLS</v>
          </cell>
          <cell r="D130">
            <v>4.4000000000000003E-3</v>
          </cell>
        </row>
        <row r="131">
          <cell r="A131" t="str">
            <v>302-000375</v>
          </cell>
          <cell r="B131" t="str">
            <v>内存</v>
          </cell>
          <cell r="C131" t="str">
            <v>紫光RDIMM内存-32GB-2933-D4-2Rank2G*4bit</v>
          </cell>
          <cell r="D131">
            <v>3.0000000000000001E-3</v>
          </cell>
        </row>
        <row r="132">
          <cell r="A132" t="str">
            <v>302-001716</v>
          </cell>
          <cell r="B132" t="str">
            <v>内存</v>
          </cell>
          <cell r="C132" t="str">
            <v>S内存DDR4-32G-3200-2Rank(2G*8bit) SX</v>
          </cell>
          <cell r="D132">
            <v>4.4000000000000003E-3</v>
          </cell>
        </row>
        <row r="133">
          <cell r="A133" t="str">
            <v>302-001057</v>
          </cell>
          <cell r="B133" t="str">
            <v>内存</v>
          </cell>
          <cell r="C133" t="str">
            <v>S内存DDR4-64GB-3200-2Rank(4G*4bit) ZG</v>
          </cell>
          <cell r="D133">
            <v>3.0000000000000001E-3</v>
          </cell>
        </row>
        <row r="134">
          <cell r="A134" t="str">
            <v>302-000031</v>
          </cell>
          <cell r="B134" t="str">
            <v>内存</v>
          </cell>
          <cell r="C134" t="str">
            <v>S内存DDR4-64G-2933MT/s-2Rank(4G*4bit)</v>
          </cell>
          <cell r="D134">
            <v>1E-3</v>
          </cell>
        </row>
        <row r="135">
          <cell r="A135" t="str">
            <v>302-000574</v>
          </cell>
          <cell r="B135" t="str">
            <v>内存</v>
          </cell>
          <cell r="C135" t="str">
            <v>S内存DDR4-64G-2933-2Rank(4G*4bit) SX</v>
          </cell>
          <cell r="D135">
            <v>1E-3</v>
          </cell>
        </row>
        <row r="136">
          <cell r="A136" t="str">
            <v>302-001020</v>
          </cell>
          <cell r="B136" t="str">
            <v>内存</v>
          </cell>
          <cell r="C136" t="str">
            <v>S内存DDR4-64GB-2933-2Rank(4G*4bit) HLS</v>
          </cell>
          <cell r="D136">
            <v>6.0000000000000001E-3</v>
          </cell>
        </row>
        <row r="137">
          <cell r="A137" t="str">
            <v>302-000896</v>
          </cell>
          <cell r="B137" t="str">
            <v>内存</v>
          </cell>
          <cell r="C137" t="str">
            <v>S内存DDR4-32G-2933-2Rank(2G*4bit) SX</v>
          </cell>
          <cell r="D137">
            <v>1E-3</v>
          </cell>
        </row>
        <row r="138">
          <cell r="A138" t="str">
            <v>302-000958</v>
          </cell>
          <cell r="B138" t="str">
            <v>内存</v>
          </cell>
          <cell r="C138" t="str">
            <v>S内存DDR4-32G-2933-2Rank(2G*4bit)</v>
          </cell>
          <cell r="D138">
            <v>5.0000000000000002E-5</v>
          </cell>
        </row>
        <row r="139">
          <cell r="A139" t="str">
            <v>302-001514</v>
          </cell>
          <cell r="B139" t="str">
            <v>内存</v>
          </cell>
          <cell r="C139" t="str">
            <v>S内存DDR4-32G-3200-2Rank(2G*8bit) HLS</v>
          </cell>
          <cell r="D139">
            <v>4.4000000000000003E-3</v>
          </cell>
        </row>
        <row r="140">
          <cell r="A140" t="str">
            <v>302-000987</v>
          </cell>
          <cell r="B140" t="str">
            <v>内存</v>
          </cell>
          <cell r="C140" t="str">
            <v>S内存DDR4-32GB-3200-2Rank(2G*8bit) ZG</v>
          </cell>
          <cell r="D140">
            <v>3.0000000000000001E-3</v>
          </cell>
        </row>
        <row r="141">
          <cell r="A141" t="str">
            <v>302-000029</v>
          </cell>
          <cell r="B141" t="str">
            <v>内存</v>
          </cell>
          <cell r="C141" t="str">
            <v>S内存DDR4-32GB-2933MT/s-2Rank(2G*8bit)</v>
          </cell>
          <cell r="D141">
            <v>1E-3</v>
          </cell>
        </row>
        <row r="142">
          <cell r="A142" t="str">
            <v>302-000558</v>
          </cell>
          <cell r="B142" t="str">
            <v>内存</v>
          </cell>
          <cell r="C142" t="str">
            <v>S内存DDR4-32GB-2933-2Rank(2G*8bit)</v>
          </cell>
          <cell r="D142">
            <v>1E-3</v>
          </cell>
        </row>
        <row r="143">
          <cell r="A143" t="str">
            <v>302-000977</v>
          </cell>
          <cell r="B143" t="str">
            <v>内存</v>
          </cell>
          <cell r="C143" t="str">
            <v>S内存DDR4-32GB-2933-2Rank(2G*8bit)</v>
          </cell>
          <cell r="D143">
            <v>4.0000000000000001E-3</v>
          </cell>
        </row>
        <row r="144">
          <cell r="A144" t="str">
            <v>302-000376</v>
          </cell>
          <cell r="B144" t="str">
            <v>内存</v>
          </cell>
          <cell r="C144" t="str">
            <v>紫光RDIMM内存-16GB-2933-D4-1Rank2G*4bit</v>
          </cell>
          <cell r="D144">
            <v>3.0000000000000001E-3</v>
          </cell>
        </row>
        <row r="145">
          <cell r="A145" t="str">
            <v>302-000985</v>
          </cell>
          <cell r="B145" t="str">
            <v>内存</v>
          </cell>
          <cell r="C145" t="str">
            <v>S内存DDR4-32GB-2933-1Rank(4G*4bit) HLS</v>
          </cell>
          <cell r="D145">
            <v>4.0000000000000001E-3</v>
          </cell>
        </row>
        <row r="146">
          <cell r="A146" t="str">
            <v>302-001627</v>
          </cell>
          <cell r="B146" t="str">
            <v>内存</v>
          </cell>
          <cell r="C146" t="str">
            <v>S内存DDR4-32GB-3200-2Rank(2G*4bit) HLS</v>
          </cell>
          <cell r="D146">
            <v>4.4000000000000003E-3</v>
          </cell>
        </row>
        <row r="147">
          <cell r="A147" t="str">
            <v>302-001051</v>
          </cell>
          <cell r="B147" t="str">
            <v>内存</v>
          </cell>
          <cell r="C147" t="str">
            <v>S内存DDR4-32GB-2933-2Rank(2G*8bit) MG</v>
          </cell>
          <cell r="D147">
            <v>5.0000000000000002E-5</v>
          </cell>
        </row>
        <row r="148">
          <cell r="A148" t="str">
            <v>302-001067</v>
          </cell>
          <cell r="B148" t="str">
            <v>内存</v>
          </cell>
          <cell r="C148" t="str">
            <v>S内存DDR4-32GB-2933-2Rank(2G*4bit) MG</v>
          </cell>
          <cell r="D148">
            <v>5.0000000000000002E-5</v>
          </cell>
        </row>
        <row r="149">
          <cell r="A149" t="str">
            <v>302-001571</v>
          </cell>
          <cell r="B149" t="str">
            <v>内存</v>
          </cell>
          <cell r="C149" t="str">
            <v>S内存DDR4-32G-2933-2Rank(2G*4bit)</v>
          </cell>
          <cell r="D149">
            <v>4.4000000000000003E-3</v>
          </cell>
        </row>
        <row r="150">
          <cell r="A150" t="str">
            <v>302-001113</v>
          </cell>
          <cell r="B150" t="str">
            <v>内存</v>
          </cell>
          <cell r="C150" t="str">
            <v>S内存DDR4-32GB-2933-2Rank(2G*4bit) SX</v>
          </cell>
          <cell r="D150">
            <v>1E-3</v>
          </cell>
        </row>
        <row r="151">
          <cell r="A151" t="str">
            <v>302-000553</v>
          </cell>
          <cell r="B151" t="str">
            <v>内存</v>
          </cell>
          <cell r="C151" t="str">
            <v>S内存DDR4-16G-2933MT/s-2Rank(1G*8bit) MG</v>
          </cell>
          <cell r="D151">
            <v>4.4000000000000003E-3</v>
          </cell>
        </row>
        <row r="152">
          <cell r="A152" t="str">
            <v>302-000677</v>
          </cell>
          <cell r="B152" t="str">
            <v>网卡</v>
          </cell>
          <cell r="C152" t="str">
            <v>网卡10Gb 双口 MCX4121A-XCAT不含光模块KT</v>
          </cell>
          <cell r="D152">
            <v>5.0000000000000001E-4</v>
          </cell>
        </row>
        <row r="153">
          <cell r="A153" t="str">
            <v>302-000756</v>
          </cell>
          <cell r="B153" t="str">
            <v>网卡</v>
          </cell>
          <cell r="C153" t="str">
            <v>网卡10Gb(Mellanox MT27712A0)DP(无光模块)</v>
          </cell>
          <cell r="D153">
            <v>1E-3</v>
          </cell>
        </row>
        <row r="154">
          <cell r="A154" t="str">
            <v>302-001864</v>
          </cell>
          <cell r="B154" t="str">
            <v>网卡</v>
          </cell>
          <cell r="C154" t="str">
            <v>网卡AN8540-T2-2*10G-RJ45-PCIe2.0x8 Ceacent</v>
          </cell>
          <cell r="D154">
            <v>4.4000000000000003E-3</v>
          </cell>
        </row>
        <row r="155">
          <cell r="A155" t="str">
            <v>302-000786</v>
          </cell>
          <cell r="B155" t="str">
            <v>网卡</v>
          </cell>
          <cell r="C155" t="str">
            <v>网卡 MCX512A-ACUT 25G/10G双口SFP28</v>
          </cell>
          <cell r="D155">
            <v>5.0000000000000001E-4</v>
          </cell>
        </row>
        <row r="156">
          <cell r="A156" t="str">
            <v>302-000910</v>
          </cell>
          <cell r="B156" t="str">
            <v>网卡</v>
          </cell>
          <cell r="C156" t="str">
            <v>SP382网卡25GE(Mellanox CX5)DP(无光模块)</v>
          </cell>
          <cell r="D156">
            <v>4.4000000000000003E-3</v>
          </cell>
        </row>
        <row r="157">
          <cell r="A157" t="str">
            <v>302-000740</v>
          </cell>
          <cell r="B157" t="str">
            <v>网卡</v>
          </cell>
          <cell r="C157" t="str">
            <v>网卡25G四口SFP+Hi1822无光模块</v>
          </cell>
          <cell r="D157">
            <v>1E-3</v>
          </cell>
        </row>
        <row r="158">
          <cell r="A158" t="str">
            <v>302-001718</v>
          </cell>
          <cell r="B158" t="str">
            <v>网卡</v>
          </cell>
          <cell r="C158" t="str">
            <v>网卡 10Gb(Intel 82599)双口SFP+无光模块</v>
          </cell>
          <cell r="D158">
            <v>1E-3</v>
          </cell>
        </row>
        <row r="159">
          <cell r="A159" t="str">
            <v>302-000159</v>
          </cell>
          <cell r="B159" t="str">
            <v>网卡</v>
          </cell>
          <cell r="C159" t="str">
            <v>网卡10GE(Hi1822)四口SFP+全高HHHLx8</v>
          </cell>
          <cell r="D159">
            <v>1E-3</v>
          </cell>
        </row>
        <row r="160">
          <cell r="A160" t="str">
            <v>302-000160</v>
          </cell>
          <cell r="B160" t="str">
            <v>网卡</v>
          </cell>
          <cell r="C160" t="str">
            <v>网卡10Gb双口SFP+Mellanox MT27712A0+2光模</v>
          </cell>
          <cell r="D160">
            <v>1E-3</v>
          </cell>
        </row>
        <row r="161">
          <cell r="A161" t="str">
            <v>302-001036</v>
          </cell>
          <cell r="B161" t="str">
            <v>网卡</v>
          </cell>
          <cell r="C161" t="str">
            <v>新TM280板载灵活网卡-25GE/10GE光口-4端口</v>
          </cell>
          <cell r="D161">
            <v>4.4000000000000003E-3</v>
          </cell>
        </row>
        <row r="162">
          <cell r="A162" t="str">
            <v>302-000141</v>
          </cell>
          <cell r="B162" t="str">
            <v>网卡</v>
          </cell>
          <cell r="C162" t="str">
            <v>TM280板载灵活网卡-25GE/10GE光口-4端口</v>
          </cell>
          <cell r="D162">
            <v>0.01</v>
          </cell>
        </row>
        <row r="163">
          <cell r="A163" t="str">
            <v>302-001153</v>
          </cell>
          <cell r="B163" t="str">
            <v>HBA卡</v>
          </cell>
          <cell r="C163" t="str">
            <v>FC HBA卡-16Gb-LPe31002-双口-SFP+2光模块</v>
          </cell>
          <cell r="D163">
            <v>3.0000000000000001E-3</v>
          </cell>
        </row>
        <row r="164">
          <cell r="A164" t="str">
            <v>302-001019</v>
          </cell>
          <cell r="B164" t="str">
            <v>HBA卡</v>
          </cell>
          <cell r="C164" t="str">
            <v>FC HBA卡-16Gb-LPe31002-双口-SFP+2光模块</v>
          </cell>
          <cell r="D164">
            <v>3.0000000000000001E-3</v>
          </cell>
        </row>
        <row r="165">
          <cell r="A165" t="str">
            <v>302-000738</v>
          </cell>
          <cell r="B165" t="str">
            <v>HBA卡</v>
          </cell>
          <cell r="C165" t="str">
            <v>FC HBA 32G双口SFP+LPe32002-2个光模块HTXC</v>
          </cell>
          <cell r="D165">
            <v>6.1999999999999998E-3</v>
          </cell>
        </row>
        <row r="166">
          <cell r="A166" t="str">
            <v>302-000147</v>
          </cell>
          <cell r="B166" t="str">
            <v>模组</v>
          </cell>
          <cell r="C166" t="str">
            <v>Riser1&amp;2模组 3*16X(X8)</v>
          </cell>
          <cell r="D166">
            <v>1E-3</v>
          </cell>
        </row>
        <row r="167">
          <cell r="A167" t="str">
            <v>302-000148</v>
          </cell>
          <cell r="B167" t="str">
            <v>模组</v>
          </cell>
          <cell r="C167" t="str">
            <v>Riser1&amp;2模组 16X(X16)+16X(X8)</v>
          </cell>
          <cell r="D167">
            <v>1E-3</v>
          </cell>
        </row>
        <row r="168">
          <cell r="A168" t="str">
            <v>302-000151</v>
          </cell>
          <cell r="B168" t="str">
            <v>模组</v>
          </cell>
          <cell r="C168" t="str">
            <v>Riser1&amp;2模组 2*2.5"后背板+1*16X(X8)</v>
          </cell>
          <cell r="D168">
            <v>1E-3</v>
          </cell>
        </row>
        <row r="169">
          <cell r="A169" t="str">
            <v>302-000345</v>
          </cell>
          <cell r="B169" t="str">
            <v>模组</v>
          </cell>
          <cell r="C169" t="str">
            <v>RISER卡模组 12 NVME</v>
          </cell>
          <cell r="D169">
            <v>0.01</v>
          </cell>
        </row>
        <row r="170">
          <cell r="A170" t="str">
            <v>302-000142</v>
          </cell>
          <cell r="B170" t="str">
            <v>接口卡</v>
          </cell>
          <cell r="C170" t="str">
            <v>4*GE 接口卡</v>
          </cell>
          <cell r="D170">
            <v>0.01</v>
          </cell>
        </row>
        <row r="171">
          <cell r="A171" t="str">
            <v>302-000179</v>
          </cell>
          <cell r="B171" t="str">
            <v>其它线</v>
          </cell>
          <cell r="C171" t="str">
            <v>高速电缆内部Mini SAS HD 0.9m 弯-直</v>
          </cell>
          <cell r="D171">
            <v>2E-3</v>
          </cell>
        </row>
        <row r="172">
          <cell r="A172" t="str">
            <v>302-000306</v>
          </cell>
          <cell r="B172" t="str">
            <v>其它线</v>
          </cell>
          <cell r="C172" t="str">
            <v>内部PCIe高速线缆-0.85m&amp;0.82m&amp;0.73m</v>
          </cell>
          <cell r="D172">
            <v>2E-3</v>
          </cell>
        </row>
        <row r="173">
          <cell r="A173" t="str">
            <v>302-000307</v>
          </cell>
          <cell r="B173" t="str">
            <v>其它线</v>
          </cell>
          <cell r="C173" t="str">
            <v>内部PCIe高速线缆-0.75m&amp;0.84m&amp;0.92m</v>
          </cell>
          <cell r="D173">
            <v>2E-3</v>
          </cell>
        </row>
        <row r="174">
          <cell r="A174" t="str">
            <v>302-000251</v>
          </cell>
          <cell r="B174" t="str">
            <v>其它线</v>
          </cell>
          <cell r="C174" t="str">
            <v>高速电缆 Mini SAS HD Cable-0.85m</v>
          </cell>
          <cell r="D174">
            <v>2E-3</v>
          </cell>
        </row>
        <row r="175">
          <cell r="A175" t="str">
            <v>302-000254</v>
          </cell>
          <cell r="B175" t="str">
            <v>其它线</v>
          </cell>
          <cell r="C175" t="str">
            <v>IT设备电缆-电源线-0.2m</v>
          </cell>
          <cell r="D175">
            <v>2E-3</v>
          </cell>
        </row>
        <row r="176">
          <cell r="A176" t="str">
            <v>302-000255</v>
          </cell>
          <cell r="B176" t="str">
            <v>其它线</v>
          </cell>
          <cell r="C176" t="str">
            <v>电源电缆-0.3m-14pin 4.2转14pin 3.0</v>
          </cell>
          <cell r="D176">
            <v>2E-3</v>
          </cell>
        </row>
        <row r="177">
          <cell r="A177" t="str">
            <v>302-000259</v>
          </cell>
          <cell r="B177" t="str">
            <v>其它线</v>
          </cell>
          <cell r="C177" t="str">
            <v>电源电缆-0.3m-14pin 4.2转14pin 3.0</v>
          </cell>
          <cell r="D177">
            <v>2E-3</v>
          </cell>
        </row>
        <row r="178">
          <cell r="A178" t="str">
            <v>302-000258</v>
          </cell>
          <cell r="B178" t="str">
            <v>其它线</v>
          </cell>
          <cell r="C178" t="str">
            <v>监控和告警电缆-信号线-0.2m-带屏蔽</v>
          </cell>
          <cell r="D178">
            <v>2E-3</v>
          </cell>
        </row>
        <row r="179">
          <cell r="A179" t="str">
            <v>302-000305</v>
          </cell>
          <cell r="B179" t="str">
            <v>其它线</v>
          </cell>
          <cell r="C179" t="str">
            <v>Mini SAS HD 4i 高速电缆-0.98m&amp;0.82m</v>
          </cell>
          <cell r="D179">
            <v>2E-3</v>
          </cell>
        </row>
        <row r="180">
          <cell r="A180" t="str">
            <v>302-000716</v>
          </cell>
          <cell r="B180" t="str">
            <v>挂耳</v>
          </cell>
          <cell r="C180" t="str">
            <v>左挂耳接口板-适用于所有机箱</v>
          </cell>
          <cell r="D180">
            <v>5.0000000000000001E-3</v>
          </cell>
        </row>
        <row r="181">
          <cell r="A181" t="str">
            <v>302-000717</v>
          </cell>
          <cell r="B181" t="str">
            <v>挂耳</v>
          </cell>
          <cell r="C181" t="str">
            <v>右挂耳接口板-适用于所有机箱</v>
          </cell>
          <cell r="D181">
            <v>5.0000000000000001E-3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A4" workbookViewId="0">
      <selection activeCell="A13" sqref="A13"/>
    </sheetView>
  </sheetViews>
  <sheetFormatPr defaultRowHeight="14" x14ac:dyDescent="0.3"/>
  <cols>
    <col min="1" max="1" width="16.6640625" customWidth="1"/>
    <col min="2" max="2" width="16.08203125" customWidth="1"/>
    <col min="3" max="3" width="11.33203125" customWidth="1"/>
    <col min="4" max="4" width="17.33203125" customWidth="1"/>
    <col min="5" max="5" width="10.83203125" customWidth="1"/>
    <col min="6" max="6" width="35.83203125" customWidth="1"/>
    <col min="7" max="7" width="10.58203125" customWidth="1"/>
    <col min="8" max="8" width="10.33203125" customWidth="1"/>
    <col min="11" max="11" width="10.33203125" customWidth="1"/>
    <col min="12" max="12" width="13.25" customWidth="1"/>
    <col min="13" max="14" width="9.83203125" customWidth="1"/>
    <col min="15" max="15" width="12.08203125" customWidth="1"/>
  </cols>
  <sheetData>
    <row r="1" spans="1:16" x14ac:dyDescent="0.3">
      <c r="B1" s="1" t="s">
        <v>45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x14ac:dyDescent="0.3">
      <c r="B2" s="30" t="s">
        <v>2</v>
      </c>
      <c r="C2" s="30"/>
      <c r="D2" s="30"/>
      <c r="E2" s="30"/>
      <c r="F2" s="30"/>
      <c r="G2" s="30"/>
      <c r="H2" s="1"/>
      <c r="I2" s="1"/>
      <c r="J2" s="1"/>
      <c r="K2" s="1"/>
      <c r="L2" s="1"/>
      <c r="M2" s="1"/>
      <c r="N2" s="1"/>
      <c r="O2" s="1"/>
    </row>
    <row r="3" spans="1:16" x14ac:dyDescent="0.3">
      <c r="A3" s="4" t="s">
        <v>61</v>
      </c>
      <c r="B3" s="4" t="s">
        <v>3</v>
      </c>
      <c r="C3" s="4" t="s">
        <v>32</v>
      </c>
      <c r="D3" s="4" t="s">
        <v>4</v>
      </c>
      <c r="E3" s="4" t="s">
        <v>31</v>
      </c>
      <c r="F3" s="4" t="s">
        <v>5</v>
      </c>
      <c r="G3" s="5" t="s">
        <v>6</v>
      </c>
      <c r="H3" s="5" t="s">
        <v>29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51</v>
      </c>
      <c r="O3" s="12" t="s">
        <v>12</v>
      </c>
      <c r="P3" s="2" t="s">
        <v>0</v>
      </c>
    </row>
    <row r="4" spans="1:16" ht="238" x14ac:dyDescent="0.3">
      <c r="A4" s="11" t="s">
        <v>59</v>
      </c>
      <c r="B4" s="11" t="s">
        <v>60</v>
      </c>
      <c r="C4" s="11" t="s">
        <v>42</v>
      </c>
      <c r="D4" s="11" t="s">
        <v>41</v>
      </c>
      <c r="E4" s="27" t="s">
        <v>48</v>
      </c>
      <c r="F4" s="27" t="s">
        <v>57</v>
      </c>
      <c r="G4" s="27" t="s">
        <v>49</v>
      </c>
      <c r="H4" s="27" t="s">
        <v>53</v>
      </c>
      <c r="I4" s="27" t="s">
        <v>56</v>
      </c>
      <c r="J4" s="27" t="s">
        <v>54</v>
      </c>
      <c r="K4" s="11" t="s">
        <v>30</v>
      </c>
      <c r="L4" s="28" t="s">
        <v>58</v>
      </c>
      <c r="M4" s="10" t="s">
        <v>13</v>
      </c>
      <c r="N4" s="28" t="s">
        <v>52</v>
      </c>
      <c r="O4" s="11" t="s">
        <v>47</v>
      </c>
      <c r="P4" s="11" t="s">
        <v>28</v>
      </c>
    </row>
    <row r="5" spans="1:16" x14ac:dyDescent="0.3">
      <c r="B5" s="21" t="s">
        <v>14</v>
      </c>
      <c r="C5" s="19" t="s">
        <v>33</v>
      </c>
      <c r="D5" s="23" t="s">
        <v>15</v>
      </c>
      <c r="E5" s="7">
        <v>2021</v>
      </c>
      <c r="F5" s="7">
        <v>245</v>
      </c>
      <c r="G5" s="8">
        <v>5</v>
      </c>
      <c r="H5" s="8">
        <v>1</v>
      </c>
      <c r="I5" s="8">
        <v>1</v>
      </c>
      <c r="J5" s="8">
        <v>0</v>
      </c>
      <c r="K5" s="8">
        <v>1</v>
      </c>
      <c r="L5" s="8">
        <v>1</v>
      </c>
      <c r="M5" s="9">
        <f t="shared" ref="M5:M15" si="0">L5/F5</f>
        <v>4.0816326530612249E-3</v>
      </c>
      <c r="N5" s="9"/>
      <c r="O5" s="9">
        <f>VLOOKUP(B5,[1]Sheet1!$A:$D,4,0)</f>
        <v>1E-3</v>
      </c>
      <c r="P5" s="3" t="s">
        <v>27</v>
      </c>
    </row>
    <row r="6" spans="1:16" x14ac:dyDescent="0.3">
      <c r="B6" s="21" t="s">
        <v>14</v>
      </c>
      <c r="C6" s="19" t="s">
        <v>33</v>
      </c>
      <c r="D6" s="23" t="s">
        <v>15</v>
      </c>
      <c r="E6" s="7">
        <v>2022</v>
      </c>
      <c r="F6" s="7">
        <v>246</v>
      </c>
      <c r="G6" s="8">
        <v>6</v>
      </c>
      <c r="H6" s="8">
        <v>1</v>
      </c>
      <c r="I6" s="8">
        <v>1</v>
      </c>
      <c r="J6" s="8">
        <v>0</v>
      </c>
      <c r="K6" s="8">
        <v>1</v>
      </c>
      <c r="L6" s="8">
        <v>1</v>
      </c>
      <c r="M6" s="9">
        <f t="shared" si="0"/>
        <v>4.0650406504065045E-3</v>
      </c>
      <c r="N6" s="9"/>
      <c r="O6" s="9">
        <f>VLOOKUP(B6,[1]Sheet1!$A:$D,4,0)</f>
        <v>1E-3</v>
      </c>
      <c r="P6" s="3" t="s">
        <v>27</v>
      </c>
    </row>
    <row r="7" spans="1:16" x14ac:dyDescent="0.3">
      <c r="B7" s="21" t="s">
        <v>14</v>
      </c>
      <c r="C7" s="19" t="s">
        <v>33</v>
      </c>
      <c r="D7" s="23" t="s">
        <v>15</v>
      </c>
      <c r="E7" s="7">
        <v>2023</v>
      </c>
      <c r="F7" s="7">
        <v>247</v>
      </c>
      <c r="G7" s="8">
        <v>7</v>
      </c>
      <c r="H7" s="8">
        <v>1</v>
      </c>
      <c r="I7" s="8">
        <v>1</v>
      </c>
      <c r="J7" s="8">
        <v>0</v>
      </c>
      <c r="K7" s="8">
        <v>2</v>
      </c>
      <c r="L7" s="8">
        <v>2</v>
      </c>
      <c r="M7" s="9">
        <f t="shared" si="0"/>
        <v>8.0971659919028341E-3</v>
      </c>
      <c r="N7" s="9"/>
      <c r="O7" s="9">
        <f>VLOOKUP(B7,[1]Sheet1!$A:$D,4,0)</f>
        <v>1E-3</v>
      </c>
      <c r="P7" s="3" t="s">
        <v>1</v>
      </c>
    </row>
    <row r="8" spans="1:16" x14ac:dyDescent="0.3">
      <c r="B8" s="21" t="s">
        <v>14</v>
      </c>
      <c r="C8" s="19" t="s">
        <v>33</v>
      </c>
      <c r="D8" s="23" t="s">
        <v>15</v>
      </c>
      <c r="E8" s="7">
        <v>2024</v>
      </c>
      <c r="F8" s="7">
        <v>248</v>
      </c>
      <c r="G8" s="8">
        <v>8</v>
      </c>
      <c r="H8" s="8">
        <v>1</v>
      </c>
      <c r="I8" s="8">
        <v>1</v>
      </c>
      <c r="J8" s="8">
        <v>0</v>
      </c>
      <c r="K8" s="8">
        <v>2</v>
      </c>
      <c r="L8" s="8">
        <v>3</v>
      </c>
      <c r="M8" s="9">
        <f t="shared" si="0"/>
        <v>1.2096774193548387E-2</v>
      </c>
      <c r="N8" s="9"/>
      <c r="O8" s="9">
        <f>VLOOKUP(B8,[1]Sheet1!$A:$D,4,0)</f>
        <v>1E-3</v>
      </c>
      <c r="P8" s="3" t="s">
        <v>1</v>
      </c>
    </row>
    <row r="9" spans="1:16" x14ac:dyDescent="0.3">
      <c r="B9" s="22" t="s">
        <v>14</v>
      </c>
      <c r="C9" s="20" t="s">
        <v>33</v>
      </c>
      <c r="D9" s="24" t="s">
        <v>15</v>
      </c>
      <c r="E9" s="16" t="s">
        <v>34</v>
      </c>
      <c r="F9" s="13">
        <f t="shared" ref="F9:L9" si="1">SUM(F4:F8)</f>
        <v>986</v>
      </c>
      <c r="G9" s="14">
        <f t="shared" si="1"/>
        <v>26</v>
      </c>
      <c r="H9" s="14">
        <f t="shared" si="1"/>
        <v>4</v>
      </c>
      <c r="I9" s="14">
        <f t="shared" si="1"/>
        <v>4</v>
      </c>
      <c r="J9" s="14">
        <f t="shared" si="1"/>
        <v>0</v>
      </c>
      <c r="K9" s="14">
        <f t="shared" si="1"/>
        <v>6</v>
      </c>
      <c r="L9" s="14">
        <f t="shared" si="1"/>
        <v>7</v>
      </c>
      <c r="M9" s="15">
        <f t="shared" si="0"/>
        <v>7.099391480730223E-3</v>
      </c>
      <c r="N9" s="15"/>
      <c r="O9" s="15">
        <f>VLOOKUP(B9,[1]Sheet1!$A:$D,4,0)</f>
        <v>1E-3</v>
      </c>
      <c r="P9" s="17" t="s">
        <v>1</v>
      </c>
    </row>
    <row r="10" spans="1:16" x14ac:dyDescent="0.3">
      <c r="B10" s="21" t="s">
        <v>16</v>
      </c>
      <c r="C10" s="19" t="s">
        <v>35</v>
      </c>
      <c r="D10" s="23" t="s">
        <v>17</v>
      </c>
      <c r="E10" s="7">
        <v>2020</v>
      </c>
      <c r="F10" s="7">
        <v>568</v>
      </c>
      <c r="G10" s="8">
        <v>4</v>
      </c>
      <c r="H10" s="8">
        <v>0</v>
      </c>
      <c r="I10" s="8">
        <v>1</v>
      </c>
      <c r="J10" s="8">
        <v>2</v>
      </c>
      <c r="K10" s="8">
        <v>0</v>
      </c>
      <c r="L10" s="8">
        <f>I10+J10</f>
        <v>3</v>
      </c>
      <c r="M10" s="9">
        <f t="shared" si="0"/>
        <v>5.2816901408450703E-3</v>
      </c>
      <c r="N10" s="9"/>
      <c r="O10" s="9">
        <f>VLOOKUP(B10,[1]Sheet1!$A:$D,4,0)</f>
        <v>1.5E-3</v>
      </c>
      <c r="P10" s="3" t="s">
        <v>1</v>
      </c>
    </row>
    <row r="11" spans="1:16" x14ac:dyDescent="0.3">
      <c r="B11" s="21" t="s">
        <v>16</v>
      </c>
      <c r="C11" s="19" t="s">
        <v>35</v>
      </c>
      <c r="D11" s="23" t="s">
        <v>17</v>
      </c>
      <c r="E11" s="7">
        <v>2021</v>
      </c>
      <c r="F11" s="7">
        <v>569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9">
        <f t="shared" si="0"/>
        <v>1.7574692442882249E-3</v>
      </c>
      <c r="N11" s="9"/>
      <c r="O11" s="9">
        <f>VLOOKUP(B11,[1]Sheet1!$A:$D,4,0)</f>
        <v>1.5E-3</v>
      </c>
      <c r="P11" s="3" t="s">
        <v>1</v>
      </c>
    </row>
    <row r="12" spans="1:16" x14ac:dyDescent="0.3">
      <c r="B12" s="21" t="s">
        <v>16</v>
      </c>
      <c r="C12" s="19" t="s">
        <v>35</v>
      </c>
      <c r="D12" s="23" t="s">
        <v>17</v>
      </c>
      <c r="E12" s="7">
        <v>2022</v>
      </c>
      <c r="F12" s="7">
        <v>570</v>
      </c>
      <c r="G12" s="8">
        <v>2</v>
      </c>
      <c r="H12" s="8">
        <v>0</v>
      </c>
      <c r="I12" s="8">
        <v>0</v>
      </c>
      <c r="J12" s="8">
        <v>0</v>
      </c>
      <c r="K12" s="8">
        <v>0</v>
      </c>
      <c r="L12" s="8">
        <v>1</v>
      </c>
      <c r="M12" s="9">
        <f t="shared" si="0"/>
        <v>1.7543859649122807E-3</v>
      </c>
      <c r="N12" s="9"/>
      <c r="O12" s="9">
        <f>VLOOKUP(B12,[1]Sheet1!$A:$D,4,0)</f>
        <v>1.5E-3</v>
      </c>
      <c r="P12" s="3" t="s">
        <v>1</v>
      </c>
    </row>
    <row r="13" spans="1:16" x14ac:dyDescent="0.3">
      <c r="B13" s="21" t="s">
        <v>16</v>
      </c>
      <c r="C13" s="19" t="s">
        <v>35</v>
      </c>
      <c r="D13" s="23" t="s">
        <v>17</v>
      </c>
      <c r="E13" s="7">
        <v>2023</v>
      </c>
      <c r="F13" s="7">
        <v>571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2</v>
      </c>
      <c r="M13" s="9">
        <f t="shared" si="0"/>
        <v>3.5026269702276708E-3</v>
      </c>
      <c r="N13" s="9"/>
      <c r="O13" s="9">
        <f>VLOOKUP(B13,[1]Sheet1!$A:$D,4,0)</f>
        <v>1.5E-3</v>
      </c>
      <c r="P13" s="3" t="s">
        <v>27</v>
      </c>
    </row>
    <row r="14" spans="1:16" x14ac:dyDescent="0.3">
      <c r="B14" s="21" t="s">
        <v>16</v>
      </c>
      <c r="C14" s="19" t="s">
        <v>35</v>
      </c>
      <c r="D14" s="23" t="s">
        <v>17</v>
      </c>
      <c r="E14" s="7">
        <v>2024</v>
      </c>
      <c r="F14" s="7">
        <v>572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9">
        <f t="shared" si="0"/>
        <v>1.7482517482517483E-3</v>
      </c>
      <c r="N14" s="9"/>
      <c r="O14" s="9">
        <f>VLOOKUP(B14,[1]Sheet1!$A:$D,4,0)</f>
        <v>1.5E-3</v>
      </c>
      <c r="P14" s="3" t="s">
        <v>1</v>
      </c>
    </row>
    <row r="15" spans="1:16" x14ac:dyDescent="0.3">
      <c r="B15" s="22" t="s">
        <v>16</v>
      </c>
      <c r="C15" s="20" t="s">
        <v>35</v>
      </c>
      <c r="D15" s="24" t="s">
        <v>17</v>
      </c>
      <c r="E15" s="16" t="s">
        <v>18</v>
      </c>
      <c r="F15" s="13">
        <f t="shared" ref="F15:L15" si="2">SUM(F10:F14)</f>
        <v>2850</v>
      </c>
      <c r="G15" s="14">
        <f t="shared" si="2"/>
        <v>6</v>
      </c>
      <c r="H15" s="14">
        <f t="shared" si="2"/>
        <v>0</v>
      </c>
      <c r="I15" s="14">
        <f t="shared" si="2"/>
        <v>2</v>
      </c>
      <c r="J15" s="14">
        <f t="shared" si="2"/>
        <v>2</v>
      </c>
      <c r="K15" s="14">
        <f t="shared" si="2"/>
        <v>0</v>
      </c>
      <c r="L15" s="14">
        <f t="shared" si="2"/>
        <v>8</v>
      </c>
      <c r="M15" s="15">
        <f t="shared" si="0"/>
        <v>2.8070175438596489E-3</v>
      </c>
      <c r="N15" s="15"/>
      <c r="O15" s="15">
        <f>VLOOKUP(B15,[1]Sheet1!$A:$D,4,0)</f>
        <v>1.5E-3</v>
      </c>
      <c r="P15" s="17" t="s">
        <v>1</v>
      </c>
    </row>
    <row r="16" spans="1:16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6" x14ac:dyDescent="0.3">
      <c r="B17" s="1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6" x14ac:dyDescent="0.3">
      <c r="A18" s="4" t="s">
        <v>61</v>
      </c>
      <c r="B18" s="4" t="s">
        <v>20</v>
      </c>
      <c r="C18" s="4" t="s">
        <v>32</v>
      </c>
      <c r="D18" s="4" t="s">
        <v>4</v>
      </c>
      <c r="E18" s="4" t="s">
        <v>31</v>
      </c>
      <c r="F18" s="4" t="s">
        <v>21</v>
      </c>
      <c r="G18" s="5" t="s">
        <v>22</v>
      </c>
      <c r="H18" s="5" t="s">
        <v>29</v>
      </c>
      <c r="I18" s="5" t="s">
        <v>23</v>
      </c>
      <c r="J18" s="5" t="s">
        <v>24</v>
      </c>
      <c r="K18" s="5" t="s">
        <v>9</v>
      </c>
      <c r="L18" s="5" t="s">
        <v>25</v>
      </c>
      <c r="M18" s="5" t="s">
        <v>11</v>
      </c>
      <c r="N18" s="5" t="s">
        <v>50</v>
      </c>
      <c r="O18" s="6" t="s">
        <v>26</v>
      </c>
      <c r="P18" s="2" t="s">
        <v>0</v>
      </c>
    </row>
    <row r="19" spans="1:16" ht="174.65" customHeight="1" x14ac:dyDescent="0.3">
      <c r="A19" s="11"/>
      <c r="B19" s="11" t="s">
        <v>40</v>
      </c>
      <c r="C19" s="11" t="s">
        <v>42</v>
      </c>
      <c r="D19" s="11" t="s">
        <v>43</v>
      </c>
      <c r="E19" s="11" t="s">
        <v>44</v>
      </c>
      <c r="F19" s="29" t="s">
        <v>46</v>
      </c>
      <c r="G19" s="29" t="s">
        <v>55</v>
      </c>
      <c r="H19" s="27" t="s">
        <v>53</v>
      </c>
      <c r="I19" s="27" t="s">
        <v>56</v>
      </c>
      <c r="J19" s="27" t="s">
        <v>54</v>
      </c>
      <c r="K19" s="11" t="s">
        <v>30</v>
      </c>
      <c r="L19" s="28" t="s">
        <v>58</v>
      </c>
      <c r="M19" s="10" t="s">
        <v>13</v>
      </c>
      <c r="N19" s="28" t="s">
        <v>52</v>
      </c>
      <c r="O19" s="11" t="s">
        <v>47</v>
      </c>
      <c r="P19" s="11" t="s">
        <v>28</v>
      </c>
    </row>
    <row r="20" spans="1:16" x14ac:dyDescent="0.3">
      <c r="B20" s="21" t="s">
        <v>16</v>
      </c>
      <c r="C20" s="19" t="s">
        <v>35</v>
      </c>
      <c r="D20" s="25" t="s">
        <v>17</v>
      </c>
      <c r="E20" s="8">
        <v>2020</v>
      </c>
      <c r="F20" s="7">
        <v>1000</v>
      </c>
      <c r="G20" s="8">
        <v>8</v>
      </c>
      <c r="H20" s="8">
        <v>0</v>
      </c>
      <c r="I20" s="8">
        <v>1</v>
      </c>
      <c r="J20" s="8">
        <v>2</v>
      </c>
      <c r="K20" s="8">
        <v>1</v>
      </c>
      <c r="L20" s="8">
        <f>I20+J20</f>
        <v>3</v>
      </c>
      <c r="M20" s="9">
        <f t="shared" ref="M20:M25" si="3">L20/F20</f>
        <v>3.0000000000000001E-3</v>
      </c>
      <c r="N20" s="9"/>
      <c r="O20" s="9">
        <f>VLOOKUP(B20,[1]Sheet1!$A:$D,4,0)</f>
        <v>1.5E-3</v>
      </c>
      <c r="P20" s="3" t="s">
        <v>1</v>
      </c>
    </row>
    <row r="21" spans="1:16" x14ac:dyDescent="0.3">
      <c r="B21" s="21" t="s">
        <v>16</v>
      </c>
      <c r="C21" s="19" t="s">
        <v>36</v>
      </c>
      <c r="D21" s="25" t="s">
        <v>17</v>
      </c>
      <c r="E21" s="8">
        <v>2021</v>
      </c>
      <c r="F21" s="7">
        <v>1000</v>
      </c>
      <c r="G21" s="18">
        <v>3</v>
      </c>
      <c r="H21" s="8">
        <v>0</v>
      </c>
      <c r="I21" s="8">
        <v>0</v>
      </c>
      <c r="J21" s="18">
        <v>1</v>
      </c>
      <c r="K21" s="18">
        <v>1</v>
      </c>
      <c r="L21" s="8">
        <f>I21+J21</f>
        <v>1</v>
      </c>
      <c r="M21" s="9">
        <f t="shared" si="3"/>
        <v>1E-3</v>
      </c>
      <c r="N21" s="9"/>
      <c r="O21" s="9">
        <f>VLOOKUP(B21,[1]Sheet1!$A:$D,4,0)</f>
        <v>1.5E-3</v>
      </c>
      <c r="P21" s="3" t="s">
        <v>1</v>
      </c>
    </row>
    <row r="22" spans="1:16" x14ac:dyDescent="0.3">
      <c r="B22" s="21" t="s">
        <v>16</v>
      </c>
      <c r="C22" s="19" t="s">
        <v>37</v>
      </c>
      <c r="D22" s="25" t="s">
        <v>17</v>
      </c>
      <c r="E22" s="8">
        <v>2022</v>
      </c>
      <c r="F22" s="7">
        <v>1000</v>
      </c>
      <c r="G22" s="18">
        <v>3</v>
      </c>
      <c r="H22" s="8">
        <v>0</v>
      </c>
      <c r="I22" s="8">
        <v>0</v>
      </c>
      <c r="J22" s="18">
        <v>1</v>
      </c>
      <c r="K22" s="18">
        <v>1</v>
      </c>
      <c r="L22" s="8">
        <f>I22+J22</f>
        <v>1</v>
      </c>
      <c r="M22" s="9">
        <f t="shared" si="3"/>
        <v>1E-3</v>
      </c>
      <c r="N22" s="9"/>
      <c r="O22" s="9">
        <f>VLOOKUP(B22,[1]Sheet1!$A:$D,4,0)</f>
        <v>1.5E-3</v>
      </c>
      <c r="P22" s="3" t="s">
        <v>1</v>
      </c>
    </row>
    <row r="23" spans="1:16" x14ac:dyDescent="0.3">
      <c r="B23" s="21" t="s">
        <v>16</v>
      </c>
      <c r="C23" s="19" t="s">
        <v>38</v>
      </c>
      <c r="D23" s="25" t="s">
        <v>17</v>
      </c>
      <c r="E23" s="8">
        <v>2023</v>
      </c>
      <c r="F23" s="7">
        <v>1000</v>
      </c>
      <c r="G23" s="18">
        <v>4</v>
      </c>
      <c r="H23" s="8">
        <v>1</v>
      </c>
      <c r="I23" s="8">
        <v>0</v>
      </c>
      <c r="J23" s="18">
        <v>1</v>
      </c>
      <c r="K23" s="18">
        <v>1</v>
      </c>
      <c r="L23" s="8">
        <f>I23+J23</f>
        <v>1</v>
      </c>
      <c r="M23" s="9">
        <f t="shared" si="3"/>
        <v>1E-3</v>
      </c>
      <c r="N23" s="9"/>
      <c r="O23" s="9">
        <f>VLOOKUP(B23,[1]Sheet1!$A:$D,4,0)</f>
        <v>1.5E-3</v>
      </c>
      <c r="P23" s="3" t="s">
        <v>1</v>
      </c>
    </row>
    <row r="24" spans="1:16" x14ac:dyDescent="0.3">
      <c r="B24" s="21" t="s">
        <v>16</v>
      </c>
      <c r="C24" s="19" t="s">
        <v>39</v>
      </c>
      <c r="D24" s="25" t="s">
        <v>17</v>
      </c>
      <c r="E24" s="8">
        <v>2024</v>
      </c>
      <c r="F24" s="7">
        <v>1000</v>
      </c>
      <c r="G24" s="18">
        <v>6</v>
      </c>
      <c r="H24" s="8">
        <v>1</v>
      </c>
      <c r="I24" s="8">
        <v>0</v>
      </c>
      <c r="J24" s="18">
        <v>2</v>
      </c>
      <c r="K24" s="18">
        <v>1</v>
      </c>
      <c r="L24" s="8">
        <f>I24+J24</f>
        <v>2</v>
      </c>
      <c r="M24" s="9">
        <f t="shared" si="3"/>
        <v>2E-3</v>
      </c>
      <c r="N24" s="9"/>
      <c r="O24" s="9">
        <f>VLOOKUP(B24,[1]Sheet1!$A:$D,4,0)</f>
        <v>1.5E-3</v>
      </c>
      <c r="P24" s="3" t="s">
        <v>1</v>
      </c>
    </row>
    <row r="25" spans="1:16" x14ac:dyDescent="0.3">
      <c r="B25" s="22" t="s">
        <v>16</v>
      </c>
      <c r="C25" s="20" t="s">
        <v>35</v>
      </c>
      <c r="D25" s="26" t="s">
        <v>17</v>
      </c>
      <c r="E25" s="16" t="s">
        <v>18</v>
      </c>
      <c r="F25" s="13">
        <f t="shared" ref="F25:L25" si="4">SUM(F20:F24)</f>
        <v>5000</v>
      </c>
      <c r="G25" s="14">
        <f t="shared" si="4"/>
        <v>24</v>
      </c>
      <c r="H25" s="14">
        <f t="shared" si="4"/>
        <v>2</v>
      </c>
      <c r="I25" s="14">
        <f t="shared" si="4"/>
        <v>1</v>
      </c>
      <c r="J25" s="14">
        <f t="shared" si="4"/>
        <v>7</v>
      </c>
      <c r="K25" s="14">
        <f t="shared" si="4"/>
        <v>5</v>
      </c>
      <c r="L25" s="14">
        <f t="shared" si="4"/>
        <v>8</v>
      </c>
      <c r="M25" s="15">
        <f t="shared" si="3"/>
        <v>1.6000000000000001E-3</v>
      </c>
      <c r="N25" s="15"/>
      <c r="O25" s="15">
        <f>VLOOKUP(B25,[1]Sheet1!$A:$D,4,0)</f>
        <v>1.5E-3</v>
      </c>
      <c r="P25" s="17" t="s">
        <v>1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jianghl</dc:creator>
  <cp:lastModifiedBy>user</cp:lastModifiedBy>
  <dcterms:created xsi:type="dcterms:W3CDTF">2024-01-23T03:12:47Z</dcterms:created>
  <dcterms:modified xsi:type="dcterms:W3CDTF">2026-03-12T08:42:27Z</dcterms:modified>
</cp:coreProperties>
</file>
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C73FC9F-B256-48B8-895B-2F580150733F}" xr6:coauthVersionLast="47" xr6:coauthVersionMax="47" xr10:uidLastSave="{00000000-0000-0000-0000-000000000000}"/>
  <bookViews>
    <workbookView xWindow="-110" yWindow="-110" windowWidth="19420" windowHeight="10420" xr2:uid="{8ECD492A-2AF8-4D33-9A94-8211CF297058}"/>
  </bookViews>
  <sheets>
    <sheet name="Sheet1" sheetId="1" r:id="rId1"/>
  </sheets>
  <externalReferences>
    <externalReference r:id="rId2"/>
    <externalReference r:id="rId3"/>
  </externalReferences>
  <definedNames>
    <definedName name="_01a3fe102f684c83b511247ff3b378b0" comment="SSRRANGE" hidden="1">'[1]产成品统计_产成品统计-业务'!#REF!</definedName>
    <definedName name="_0233e502cbff4ad69f5f72dcdb3ad1a9" comment="SSRRANGE" hidden="1">#REF!</definedName>
    <definedName name="_05c1fb9e7d964a28ade739b6ee670181" comment="SSRRANGE" hidden="1">#REF!</definedName>
    <definedName name="_0b99251d3a92479382763409778f43d4" comment="SSRRANGE" hidden="1">'[1]产成品统计_产成品统计-业务'!#REF!</definedName>
    <definedName name="_0bd936fa72ba4deaa69a8eb2d4ae692e" comment="SSRRANGE" hidden="1">#REF!</definedName>
    <definedName name="_0f7501e13c3d456daf59adfcb6f1c418" comment="SSRRANGE" hidden="1">#REF!</definedName>
    <definedName name="_11289af2084947b1927945deeba6a7c4" comment="SSRRANGE" hidden="1">#REF!</definedName>
    <definedName name="_127fcc32d551439897ddd44c56bf2528" comment="SSRRANGE" hidden="1">'[1]产成品统计_产成品统计-业务'!#REF!</definedName>
    <definedName name="_15c97c32b8f244f997ee209d018611f5" comment="SSRRANGE" hidden="1">#REF!</definedName>
    <definedName name="_17495f84d8484720bda99b96a39760d5" comment="SSRRANGE" hidden="1">#REF!</definedName>
    <definedName name="_1a73bf41b0604b60bff3eec08e80f07f" comment="SSRRANGE" hidden="1">'[1]产成品统计_产成品统计-业务'!#REF!</definedName>
    <definedName name="_1b21b3c7eced4c5aa846a889a9bd2f81" comment="SSRRANGE" hidden="1">#REF!</definedName>
    <definedName name="_1be8df6dc2044ed185a77af72fb3591a" comment="SSRRANGE" hidden="1">#REF!</definedName>
    <definedName name="_20e20c9e284e4dc488f45891089bb9b9" comment="SSRRANGE" hidden="1">'[1]产成品统计_产成品统计-业务'!#REF!</definedName>
    <definedName name="_23592656ac4f4fdf981aa5e039c89418" comment="SSRRANGE" hidden="1">#REF!</definedName>
    <definedName name="_23bfb68d5a26442bbb60d22623f2faaf" comment="SSRRANGE" hidden="1">#REF!</definedName>
    <definedName name="_2c5611b7e7c441c38e6398e0a46410b9" comment="SSRRANGE" hidden="1">[2]削价总览!#REF!</definedName>
    <definedName name="_2cfc4cc7a3e9460a917ffe14f31caaf7" comment="SSRRANGE" hidden="1">#REF!</definedName>
    <definedName name="_32f02906be984f4e86ef5f5c55264fa1" comment="SSRRANGE" hidden="1">#REF!</definedName>
    <definedName name="_34f3714399d54ae49a34d00e11841228" comment="SSRRANGE" hidden="1">#REF!</definedName>
    <definedName name="_37f9758231ac43cb890fe4dbd63ccd46" comment="SSRRANGE" hidden="1">#REF!</definedName>
    <definedName name="_3d4c49ff0a91466a8eb539666b9ac235" comment="SSRRANGE" hidden="1">#REF!</definedName>
    <definedName name="_41f9c1a7f03a4e88868e3ceea82d0d99" comment="SSRRANGE" hidden="1">#REF!</definedName>
    <definedName name="_442f25c5165d4dc2a0e6c2acad116d15" comment="SSRRANGE" hidden="1">#REF!</definedName>
    <definedName name="_4488de905a564e16983ff85ddd8f1397" comment="SSRRANGE" hidden="1">#REF!</definedName>
    <definedName name="_45bc049df2dc4c7196418984df5411fb" comment="SSRRANGE" hidden="1">[2]削价总览!#REF!</definedName>
    <definedName name="_48d1bfe725974e178106af3dc044ae99" comment="SSRRANGE" hidden="1">#REF!</definedName>
    <definedName name="_48f298425ae04f318d52b946ed39d92d" comment="SSRRANGE" hidden="1">[1]削价明细_削价明细!#REF!</definedName>
    <definedName name="_4becea2fd07a4b2bafc7777f581cdd94" comment="SSRRANGE" hidden="1">[2]削价明细!#REF!</definedName>
    <definedName name="_4c8a4e4016b54acc81b9b3781931a12b" comment="SSRRANGE" hidden="1">#REF!</definedName>
    <definedName name="_4ea2547d829f4bc8a9402d77817ddf33" comment="SSRRANGE" hidden="1">#REF!</definedName>
    <definedName name="_4eff993769534ea1b845019d2ba6fbd7" comment="SSRRANGE" hidden="1">#REF!</definedName>
    <definedName name="_51c2183c0af0496abeda70d7bd15227b" comment="SSRRANGE" hidden="1">#REF!</definedName>
    <definedName name="_52f54cc3724340f78fc30e2655ed2059" comment="SSRRANGE" hidden="1">#REF!</definedName>
    <definedName name="_539fc6225bf347b4a47c25cb1edd3b0e" comment="SSRRANGE" hidden="1">#REF!</definedName>
    <definedName name="_590ae859bab145a4b565337e7eebb41a" comment="SSRRANGE" hidden="1">'[1]产成品统计_产成品统计-业务'!#REF!</definedName>
    <definedName name="_595bdc3e21d94369955c0cb5f513c051" comment="SSRRANGE" hidden="1">#REF!</definedName>
    <definedName name="_5a193e4c7701440497a59d542e96e89c" comment="SSRRANGE" hidden="1">#REF!</definedName>
    <definedName name="_5b43cfd68ed5491b9fc9d80fec55f632" comment="SSRRANGE" hidden="1">#REF!</definedName>
    <definedName name="_5bb45042367a430d92cd12065106e116" comment="SSRRANGE" hidden="1">[2]削价总览!#REF!</definedName>
    <definedName name="_5db79093d0a243818b844ae32a2986f8" comment="SSRRANGE" hidden="1">#REF!</definedName>
    <definedName name="_5ea19fab222549209aefcabfa9cd0819" comment="SSRRANGE" hidden="1">#REF!</definedName>
    <definedName name="_620db3f843cd49ab8df27bd9a42da3e1" comment="SSRRANGE" hidden="1">#REF!</definedName>
    <definedName name="_659a43164e5c40b5b9fcedf615cf094f" comment="SSRRANGE" hidden="1">#REF!</definedName>
    <definedName name="_6b3b84ed6a3f49cd9a40699ea7536081" comment="SSRRANGE" hidden="1">#REF!</definedName>
    <definedName name="_6d59360035ab45bfacf5f49a0a60f977" comment="SSRRANGE" hidden="1">#REF!</definedName>
    <definedName name="_6fee6c4b23784b07887679deaff2cd71" comment="SSRRANGE" hidden="1">#REF!</definedName>
    <definedName name="_729e2d3cd15b4382a63a26e4c2e0ad2e" comment="SSRRANGE" hidden="1">#REF!</definedName>
    <definedName name="_72b543f1f5bc4244871078682a9ef580" comment="SSRRANGE" hidden="1">#REF!</definedName>
    <definedName name="_72da5b6c2df04ddc819b79a470e12843" comment="SSRRANGE" hidden="1">#REF!</definedName>
    <definedName name="_72e91a354d644b2eb0a1c18e20d1f47e" comment="SSRRANGE" hidden="1">#REF!</definedName>
    <definedName name="_780ccb85a3c94d80b31cdd66f24b5568" comment="SSRRANGE" hidden="1">#REF!</definedName>
    <definedName name="_7834d27608564455b2b29f9af30b436f" comment="SSRRANGE" hidden="1">#REF!</definedName>
    <definedName name="_78f749b6dac0446fa84396b274cc0d3d" comment="SSRRANGE" hidden="1">#REF!</definedName>
    <definedName name="_7d2ab68a0e2c402a88ec7bd0d1a29f00" comment="SSRRANGE" hidden="1">'[1]产成品统计_产成品统计-业务'!#REF!</definedName>
    <definedName name="_800b1035c6d04f4b999d57d2c34d4861" comment="SSRRANGE" hidden="1">#REF!</definedName>
    <definedName name="_800ba9d29208497b9ec7cc5be6f6f1b4" comment="SSRRANGE" hidden="1">#REF!</definedName>
    <definedName name="_80ebe4cc522f49a985887a43065fca12" comment="SSRRANGE" hidden="1">'[1]产成品统计_产成品统计-业务'!#REF!</definedName>
    <definedName name="_8101368d854745bfa10bc0984a1d7bcd" comment="SSRRANGE" hidden="1">#REF!</definedName>
    <definedName name="_8292f0ecffae4006a83bf3fd2e634805" hidden="1">#REF!</definedName>
    <definedName name="_86a7f82a35234aa3a61ac4dc19f772cc" comment="SSRRANGE" hidden="1">#REF!</definedName>
    <definedName name="_8756e0f3d4604636bb502f3ebe52be59" comment="SSRRANGE" hidden="1">#REF!</definedName>
    <definedName name="_888b45ebaaf14ea8be01db5f886c7811" comment="SSRRANGE" hidden="1">'[2]样机&amp;备品备件明细-24个月'!#REF!</definedName>
    <definedName name="_8b04ba06a4854bf19d33bdf5b46882b6" comment="SSRRANGE" hidden="1">#REF!</definedName>
    <definedName name="_8ca98313092e4c4a820945b49bf68314" comment="SSRRANGE" hidden="1">[2]削价总览!#REF!</definedName>
    <definedName name="_8d76193902744dd1b42ab8d990bb10c5" comment="SSRRANGE" hidden="1">#REF!</definedName>
    <definedName name="_8ffd6c37058e40438ffaa7e73de335bf" comment="SSRRANGE" hidden="1">#REF!</definedName>
    <definedName name="_90c8b086e2574c9d8eaf99714ba65baa" comment="SSRRANGE" hidden="1">#REF!</definedName>
    <definedName name="_949e4972626f4c7f9d8a8d2ac07f20bc" comment="SSRRANGE" hidden="1">'[1]产成品统计_产成品统计-业务'!#REF!</definedName>
    <definedName name="_96e98eda1acf4555bc87ce46b3e8a010" comment="SSRRANGE" hidden="1">'[2]备品备件明细-36个月'!#REF!</definedName>
    <definedName name="_9c20873304834cc59d56373d9b24a1a1" comment="SSRRANGE" hidden="1">'[2]样机&amp;备品备件明细-24个月'!#REF!</definedName>
    <definedName name="_9dc75c11f32f4fa2b7822387c1218d1d" comment="SSRRANGE" hidden="1">#REF!</definedName>
    <definedName name="_a2129c4a100b485f9ee8877847765134" comment="SSRRANGE" hidden="1">[2]削价总览!#REF!</definedName>
    <definedName name="_a72a6d8954804db9b39f2bf14e5cc578" comment="SSRRANGE" hidden="1">#REF!</definedName>
    <definedName name="_a7a3196e2c3d4028b1b4e5bdbc35b206" comment="SSRRANGE" hidden="1">#REF!</definedName>
    <definedName name="_a81380dac349410cb4699be492431b15" comment="SSRRANGE" hidden="1">#REF!</definedName>
    <definedName name="_a9b88920b1bd4c238826f2b2b05dd27f" comment="SSRRANGE" hidden="1">#REF!</definedName>
    <definedName name="_acae49790ef8429497cd638ca29dd1a5" comment="SSRRANGE" hidden="1">#REF!</definedName>
    <definedName name="_b091219aa87046839e3974bf58b32afa" comment="SSRRANGE" hidden="1">'[1]产成品统计_产成品统计-业务'!#REF!</definedName>
    <definedName name="_b1f1f19705c6489caa2b8da12f68308e" comment="SSRRANGE" hidden="1">#REF!</definedName>
    <definedName name="_b25bffb9e4474d46a4b4d76dd04d2669" comment="SSRRANGE" hidden="1">'[1]产成品统计_产成品统计-业务'!#REF!</definedName>
    <definedName name="_b4c9801821ad4dca9b3bfcd57e48c6e7" comment="SSRRANGE" hidden="1">#REF!</definedName>
    <definedName name="_b4f553965e234add9361f9283bc00da1" comment="SSRRANGE" hidden="1">#REF!</definedName>
    <definedName name="_b647c884beaa4573b34c43f3c8fa8bb2" comment="SSRRANGE" hidden="1">#REF!</definedName>
    <definedName name="_b9208fe47296452e81957d08623f968b" comment="SSRRANGE" hidden="1">#REF!</definedName>
    <definedName name="_ba810ecf561c4824abe1069c5fa3bcb9" comment="SSRRANGE" hidden="1">#REF!</definedName>
    <definedName name="_bcf7696161374011813936083ce3058b" comment="SSRRANGE" hidden="1">#REF!</definedName>
    <definedName name="_c19878f46b1743509aa3f649a48b06bd" comment="SSRRANGE" hidden="1">#REF!</definedName>
    <definedName name="_c5fbd4d75dd94c2c8a430b93b78e7ae9" comment="SSRRANGE" hidden="1">[2]物料组维度统计!#REF!</definedName>
    <definedName name="_c74bcb8120ad49d3b1d65542904b4fed" comment="SSRRANGE" hidden="1">'[1]产成品统计_产成品统计-业务'!#REF!</definedName>
    <definedName name="_c75cb8bcc1b7489e9cf996c7d99d0467" comment="SSRRANGE" hidden="1">#REF!</definedName>
    <definedName name="_c7886e88325d41a79d8d9121f612ca2b" comment="SSRRANGE" hidden="1">'[1]产成品统计_产成品统计-业务'!#REF!</definedName>
    <definedName name="_ce7a216ce6ba4c158229ac4a8157f6a4" comment="SSRRANGE" hidden="1">#REF!</definedName>
    <definedName name="_d1900ae355b4411e8a9f77930c0730e1" comment="SSRRANGE" hidden="1">#REF!</definedName>
    <definedName name="_d2e821d4e3484fe6b8c414dfe4958c05" comment="SSRRANGE" hidden="1">#REF!</definedName>
    <definedName name="_d4ae6e7daf9f41d9b168a9617732ea69" comment="SSRRANGE" hidden="1">#REF!</definedName>
    <definedName name="_da503cb8017a41d686537c9c76087131" comment="SSRRANGE" hidden="1">#REF!</definedName>
    <definedName name="_da5cbfdd239e4dd5a02fd0ee843e741c" comment="SSRRANGE" hidden="1">#REF!</definedName>
    <definedName name="_db12c32f0ccb42ccaadbf2c5b7b62f1d" comment="SSRRANGE" hidden="1">#REF!</definedName>
    <definedName name="_db4aac24367e4528a44ad55805a77245" comment="SSRRANGE" hidden="1">#REF!</definedName>
    <definedName name="_dc664f04dc8d4339a39b06f438f161a2" comment="SSRRANGE" hidden="1">#REF!</definedName>
    <definedName name="_de208a6629f64d0db66bc46cef22a4b8" comment="SSRRANGE" hidden="1">#REF!</definedName>
    <definedName name="_e0a5fa5b86f24110b1e419765f37d2c9" comment="SSRRANGE" hidden="1">'[1]产成品统计_产成品统计-业务'!#REF!</definedName>
    <definedName name="_e1b30ebc361b4d66bb9dd8917752a1f5" comment="SSRRANGE" hidden="1">'[1]产成品统计_产成品统计-业务'!#REF!</definedName>
    <definedName name="_e24f11a24ab843ab95bb57af7d4fefe3" comment="SSRRANGE" hidden="1">#REF!</definedName>
    <definedName name="_e4732222ddc74080b41b124cf930f854" comment="SSRRANGE" hidden="1">#REF!</definedName>
    <definedName name="_e758d06ecb6343979e47ac1352cf8f1e" comment="SSRRANGE" hidden="1">#REF!</definedName>
    <definedName name="_e9754bc9cf554f0797b675c88938663d" comment="SSRRANGE" hidden="1">[2]物料组维度统计!#REF!</definedName>
    <definedName name="_ec7ac047ae4c4ef7bc8d747b3562e32c" comment="SSRRANGE" hidden="1">#REF!</definedName>
    <definedName name="_ed5ec4eb164243deb5ff2fc01fd7d095" comment="SSRRANGE" hidden="1">'[2]备品备件明细-36个月'!#REF!</definedName>
    <definedName name="_ee97aef78a8c4bf39328332332ee39ba" comment="SSRRANGE" hidden="1">'[1]产成品统计_产成品统计-业务'!#REF!</definedName>
    <definedName name="_f04d54c69e944894b890db10f4496500" comment="SSRRANGE" hidden="1">#REF!</definedName>
    <definedName name="_f2fd608914e54aa2918bd537dc73fa5a" comment="SSRRANGE" hidden="1">'[2]备品备件明细-36个月'!#REF!</definedName>
    <definedName name="_f54a9f63906a4cefb4102adc56f78aec" comment="SSRRANGE" hidden="1">#REF!</definedName>
    <definedName name="_fc15555c68f04284a3ffe5e9ec68b744" comment="SSRRANGE" hidden="1">#REF!</definedName>
    <definedName name="_fdad6deae8054ea994ee1d8b98e15005" comment="SSRRANGE" hidden="1">#REF!</definedName>
    <definedName name="_ff3274fee29b41b0859151bbec1d1af5" comment="SSRRANGE" hidden="1">'[1]产成品统计_产成品统计-业务'!#REF!</definedName>
    <definedName name="_xlnm._FilterDatabase" localSheetId="0" hidden="1">Sheet1!$A$1:$V$97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11" i="1" s="1"/>
  <c r="H8" i="1"/>
  <c r="H11" i="1" s="1"/>
  <c r="I8" i="1"/>
  <c r="I11" i="1" s="1"/>
  <c r="J8" i="1"/>
  <c r="J11" i="1" s="1"/>
  <c r="L64" i="1"/>
  <c r="M64" i="1" s="1"/>
  <c r="N64" i="1" s="1"/>
  <c r="O64" i="1" s="1"/>
  <c r="P64" i="1" s="1"/>
  <c r="P8" i="1"/>
  <c r="P12" i="1" s="1"/>
  <c r="O8" i="1"/>
  <c r="O11" i="1" s="1"/>
  <c r="N8" i="1"/>
  <c r="N11" i="1" s="1"/>
  <c r="M8" i="1"/>
  <c r="M11" i="1" s="1"/>
  <c r="L8" i="1"/>
  <c r="L11" i="1" s="1"/>
  <c r="K8" i="1"/>
  <c r="K11" i="1" s="1"/>
  <c r="P3" i="1"/>
  <c r="O3" i="1"/>
  <c r="P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linktel</author>
    <author>abc</author>
    <author>xiawenwen</author>
    <author>jianghl</author>
  </authors>
  <commentList>
    <comment ref="O3" authorId="0" shapeId="0" xr:uid="{4BB0C4FE-B09D-4A36-8BD2-2D270A7152C6}">
      <text>
        <r>
          <rPr>
            <b/>
            <sz val="9"/>
            <rFont val="宋体"/>
            <family val="3"/>
            <charset val="134"/>
          </rPr>
          <t xml:space="preserve">武汉28组良品，3组工具，12组废品，全国其他80
</t>
        </r>
      </text>
    </comment>
    <comment ref="P3" authorId="0" shapeId="0" xr:uid="{FE49CA14-FBFA-4781-B7F4-3A1699D079A0}">
      <text>
        <r>
          <rPr>
            <b/>
            <sz val="9"/>
            <rFont val="宋体"/>
            <family val="3"/>
            <charset val="134"/>
          </rPr>
          <t xml:space="preserve">武汉28组良品，3组工具，12组废品，全国其他80
</t>
        </r>
      </text>
    </comment>
    <comment ref="G7" authorId="0" shapeId="0" xr:uid="{DCB20995-B74D-4C2B-BAC4-7AF2B566DDDF}">
      <text>
        <r>
          <rPr>
            <b/>
            <sz val="9"/>
            <rFont val="宋体"/>
            <family val="3"/>
            <charset val="134"/>
          </rPr>
          <t>PC物料本月增加一些</t>
        </r>
      </text>
    </comment>
    <comment ref="H7" authorId="0" shapeId="0" xr:uid="{7528CFDF-A8C1-4607-AD4E-525AF8AFD64A}">
      <text>
        <r>
          <rPr>
            <b/>
            <sz val="9"/>
            <rFont val="宋体"/>
            <family val="3"/>
            <charset val="134"/>
          </rPr>
          <t>PC物料本月增加一些</t>
        </r>
      </text>
    </comment>
    <comment ref="I7" authorId="0" shapeId="0" xr:uid="{F1966B2C-FA22-40C1-A640-7C42BDB19196}">
      <text>
        <r>
          <rPr>
            <b/>
            <sz val="9"/>
            <rFont val="宋体"/>
            <family val="3"/>
            <charset val="134"/>
          </rPr>
          <t>PC物料本月增加一些</t>
        </r>
      </text>
    </comment>
    <comment ref="J7" authorId="0" shapeId="0" xr:uid="{6F4C3426-51E2-47A4-BD66-AB626A324AE6}">
      <text>
        <r>
          <rPr>
            <b/>
            <sz val="9"/>
            <rFont val="宋体"/>
            <family val="3"/>
            <charset val="134"/>
          </rPr>
          <t>PC物料本月增加一些</t>
        </r>
      </text>
    </comment>
    <comment ref="K7" authorId="0" shapeId="0" xr:uid="{2CD7E97C-3F37-420F-8C3F-AE1BD44A8B57}">
      <text>
        <r>
          <rPr>
            <b/>
            <sz val="9"/>
            <rFont val="宋体"/>
            <family val="3"/>
            <charset val="134"/>
          </rPr>
          <t>PC物料本月增加一些</t>
        </r>
      </text>
    </comment>
    <comment ref="G64" authorId="1" shapeId="0" xr:uid="{3DA490A4-6BAA-4B60-B6B5-01ED8BD0DB8F}">
      <text>
        <r>
          <rPr>
            <b/>
            <sz val="9"/>
            <rFont val="宋体"/>
            <family val="3"/>
            <charset val="134"/>
          </rPr>
          <t>abc:</t>
        </r>
        <r>
          <rPr>
            <sz val="9"/>
            <rFont val="宋体"/>
            <family val="3"/>
            <charset val="134"/>
          </rPr>
          <t xml:space="preserve">
（1）4.0PC主板包含按原价转储的56pcs。
（2）PC主板3.0和4.0按照原价转储，后续转储先通知李娟改价格</t>
        </r>
      </text>
    </comment>
    <comment ref="H64" authorId="1" shapeId="0" xr:uid="{07C9F6B8-7C74-47EF-B7D1-031BE88BC2FE}">
      <text>
        <r>
          <rPr>
            <b/>
            <sz val="9"/>
            <rFont val="宋体"/>
            <family val="3"/>
            <charset val="134"/>
          </rPr>
          <t>abc:</t>
        </r>
        <r>
          <rPr>
            <sz val="9"/>
            <rFont val="宋体"/>
            <family val="3"/>
            <charset val="134"/>
          </rPr>
          <t xml:space="preserve">
（1）4.0PC主板包含按原价转储的56pcs。
（2）PC主板3.0和4.0按照原价转储，后续转储先通知李娟改价格</t>
        </r>
      </text>
    </comment>
    <comment ref="I64" authorId="1" shapeId="0" xr:uid="{29F496BE-1389-4769-B10A-BFEE89D45DFF}">
      <text>
        <r>
          <rPr>
            <b/>
            <sz val="9"/>
            <rFont val="宋体"/>
            <family val="3"/>
            <charset val="134"/>
          </rPr>
          <t>abc:</t>
        </r>
        <r>
          <rPr>
            <sz val="9"/>
            <rFont val="宋体"/>
            <family val="3"/>
            <charset val="134"/>
          </rPr>
          <t xml:space="preserve">
（1）4.0PC主板包含按原价转储的56pcs。
（2）PC主板3.0和4.0按照原价转储，后续转储先通知李娟改价格</t>
        </r>
      </text>
    </comment>
    <comment ref="J64" authorId="1" shapeId="0" xr:uid="{58B7547F-8569-428E-8B90-603F617FBF70}">
      <text>
        <r>
          <rPr>
            <b/>
            <sz val="9"/>
            <rFont val="宋体"/>
            <family val="3"/>
            <charset val="134"/>
          </rPr>
          <t>abc:</t>
        </r>
        <r>
          <rPr>
            <sz val="9"/>
            <rFont val="宋体"/>
            <family val="3"/>
            <charset val="134"/>
          </rPr>
          <t xml:space="preserve">
（1）4.0PC主板包含按原价转储的56pcs。
（2）PC主板3.0和4.0按照原价转储，后续转储先通知李娟改价格</t>
        </r>
      </text>
    </comment>
    <comment ref="K64" authorId="1" shapeId="0" xr:uid="{0364FD96-B309-4AB8-95EB-FE7D4F5729DA}">
      <text>
        <r>
          <rPr>
            <b/>
            <sz val="9"/>
            <rFont val="宋体"/>
            <family val="3"/>
            <charset val="134"/>
          </rPr>
          <t>abc:</t>
        </r>
        <r>
          <rPr>
            <sz val="9"/>
            <rFont val="宋体"/>
            <family val="3"/>
            <charset val="134"/>
          </rPr>
          <t xml:space="preserve">
（1）4.0PC主板包含按原价转储的56pcs。
（2）PC主板3.0和4.0按照原价转储，后续转储先通知李娟改价格</t>
        </r>
      </text>
    </comment>
    <comment ref="G79" authorId="2" shapeId="0" xr:uid="{455E2891-1FBA-42CD-AA72-28D8E1392B99}">
      <text>
        <r>
          <rPr>
            <b/>
            <sz val="9"/>
            <rFont val="宋体"/>
            <family val="3"/>
            <charset val="134"/>
          </rPr>
          <t>xiawenwen:</t>
        </r>
        <r>
          <rPr>
            <sz val="9"/>
            <rFont val="宋体"/>
            <family val="3"/>
            <charset val="134"/>
          </rPr>
          <t xml:space="preserve">
本月给付工厂共计3500元
</t>
        </r>
      </text>
    </comment>
    <comment ref="H79" authorId="2" shapeId="0" xr:uid="{3F0447CB-720A-4C88-A6C9-88A6BD0FFCBA}">
      <text>
        <r>
          <rPr>
            <b/>
            <sz val="9"/>
            <rFont val="宋体"/>
            <family val="3"/>
            <charset val="134"/>
          </rPr>
          <t>xiawenwen:</t>
        </r>
        <r>
          <rPr>
            <sz val="9"/>
            <rFont val="宋体"/>
            <family val="3"/>
            <charset val="134"/>
          </rPr>
          <t xml:space="preserve">
本月给付工厂共计3500元
</t>
        </r>
      </text>
    </comment>
    <comment ref="I79" authorId="2" shapeId="0" xr:uid="{BE5F87F7-524E-4EB5-83B2-AA6D068CB1DF}">
      <text>
        <r>
          <rPr>
            <b/>
            <sz val="9"/>
            <rFont val="宋体"/>
            <family val="3"/>
            <charset val="134"/>
          </rPr>
          <t>xiawenwen:</t>
        </r>
        <r>
          <rPr>
            <sz val="9"/>
            <rFont val="宋体"/>
            <family val="3"/>
            <charset val="134"/>
          </rPr>
          <t xml:space="preserve">
本月给付工厂共计3500元
</t>
        </r>
      </text>
    </comment>
    <comment ref="J79" authorId="2" shapeId="0" xr:uid="{06695F29-7AE7-4EA6-AB00-9EB222DC28CB}">
      <text>
        <r>
          <rPr>
            <b/>
            <sz val="9"/>
            <rFont val="宋体"/>
            <family val="3"/>
            <charset val="134"/>
          </rPr>
          <t>xiawenwen:</t>
        </r>
        <r>
          <rPr>
            <sz val="9"/>
            <rFont val="宋体"/>
            <family val="3"/>
            <charset val="134"/>
          </rPr>
          <t xml:space="preserve">
本月给付工厂共计3500元
</t>
        </r>
      </text>
    </comment>
    <comment ref="K79" authorId="2" shapeId="0" xr:uid="{877AA390-9781-4006-B4C3-7EA132907834}">
      <text>
        <r>
          <rPr>
            <b/>
            <sz val="9"/>
            <rFont val="宋体"/>
            <family val="3"/>
            <charset val="134"/>
          </rPr>
          <t>xiawenwen:</t>
        </r>
        <r>
          <rPr>
            <sz val="9"/>
            <rFont val="宋体"/>
            <family val="3"/>
            <charset val="134"/>
          </rPr>
          <t xml:space="preserve">
本月给付工厂共计3500元
</t>
        </r>
      </text>
    </comment>
    <comment ref="D80" authorId="3" shapeId="0" xr:uid="{1C386F43-B0CE-451D-A169-3461E6655E42}">
      <text>
        <r>
          <rPr>
            <b/>
            <sz val="9"/>
            <rFont val="宋体"/>
            <family val="3"/>
            <charset val="134"/>
          </rPr>
          <t>jianghl:</t>
        </r>
        <r>
          <rPr>
            <sz val="9"/>
            <rFont val="宋体"/>
            <family val="3"/>
            <charset val="134"/>
          </rPr>
          <t xml:space="preserve">
等待客户打款时效较长，达成率影响较大</t>
        </r>
      </text>
    </comment>
  </commentList>
</comments>
</file>

<file path=xl/sharedStrings.xml><?xml version="1.0" encoding="utf-8"?>
<sst xmlns="http://schemas.openxmlformats.org/spreadsheetml/2006/main" count="577" uniqueCount="211">
  <si>
    <t>产品线</t>
    <phoneticPr fontId="4" type="noConversion"/>
  </si>
  <si>
    <t>职能块</t>
    <phoneticPr fontId="4" type="noConversion"/>
  </si>
  <si>
    <t>运营项</t>
    <phoneticPr fontId="4" type="noConversion"/>
  </si>
  <si>
    <t>指标说明</t>
    <phoneticPr fontId="4" type="noConversion"/>
  </si>
  <si>
    <t>目标VS统计频率</t>
    <phoneticPr fontId="4" type="noConversion"/>
  </si>
  <si>
    <t>指标负责人</t>
    <phoneticPr fontId="4" type="noConversion"/>
  </si>
  <si>
    <t>IT</t>
    <phoneticPr fontId="4" type="noConversion"/>
  </si>
  <si>
    <t>备件计划</t>
  </si>
  <si>
    <t>备件库数量</t>
  </si>
  <si>
    <t>全国备件库数量</t>
    <phoneticPr fontId="4" type="noConversion"/>
  </si>
  <si>
    <t>-</t>
  </si>
  <si>
    <t>周婷</t>
  </si>
  <si>
    <t>IT</t>
  </si>
  <si>
    <t>货架数量</t>
  </si>
  <si>
    <t>全国货架总数量</t>
    <phoneticPr fontId="4" type="noConversion"/>
  </si>
  <si>
    <t>整机累计销售数量</t>
    <phoneticPr fontId="4" type="noConversion"/>
  </si>
  <si>
    <t>覆盖服务器总数量（交付在保量）</t>
    <phoneticPr fontId="4" type="noConversion"/>
  </si>
  <si>
    <t>物料累计销售数量</t>
    <phoneticPr fontId="4" type="noConversion"/>
  </si>
  <si>
    <t>覆盖白金&amp;金牌+数量（交付在保量）</t>
    <phoneticPr fontId="4" type="noConversion"/>
  </si>
  <si>
    <t>覆盖标准+数量（交付在保量）</t>
    <phoneticPr fontId="4" type="noConversion"/>
  </si>
  <si>
    <t>累计基础+量（交付在保量）</t>
    <phoneticPr fontId="4" type="noConversion"/>
  </si>
  <si>
    <t>累计销售数量</t>
  </si>
  <si>
    <t>累计交付在保部件量</t>
    <phoneticPr fontId="4" type="noConversion"/>
  </si>
  <si>
    <t>周婷</t>
    <phoneticPr fontId="4" type="noConversion"/>
  </si>
  <si>
    <t>备件数量</t>
    <phoneticPr fontId="4" type="noConversion"/>
  </si>
  <si>
    <t>总备件库存量</t>
    <phoneticPr fontId="4" type="noConversion"/>
  </si>
  <si>
    <t>备件数量（仅合格品库）</t>
    <phoneticPr fontId="4" type="noConversion"/>
  </si>
  <si>
    <t>合格品库备件库存量</t>
    <phoneticPr fontId="4" type="noConversion"/>
  </si>
  <si>
    <t>备件覆盖率（所有库存）</t>
    <phoneticPr fontId="4" type="noConversion"/>
  </si>
  <si>
    <t>备件数量（所有库存）/交付在保备件数量</t>
    <phoneticPr fontId="4" type="noConversion"/>
  </si>
  <si>
    <t>备件覆盖率（仅合格品库）</t>
    <phoneticPr fontId="4" type="noConversion"/>
  </si>
  <si>
    <t>可用维修备件数量（仅合格品库）/交付在保备件数量</t>
    <phoneticPr fontId="4" type="noConversion"/>
  </si>
  <si>
    <t>服务器交付城市数量</t>
  </si>
  <si>
    <t>累计销售城市的数量</t>
    <phoneticPr fontId="4" type="noConversion"/>
  </si>
  <si>
    <t>周测算达成率</t>
  </si>
  <si>
    <t>测算数量/销售数量（新增存量+既定PO通知单）</t>
    <phoneticPr fontId="4" type="noConversion"/>
  </si>
  <si>
    <t>备件实际采购额度(W)</t>
    <phoneticPr fontId="4" type="noConversion"/>
  </si>
  <si>
    <t>实际转储金额</t>
  </si>
  <si>
    <t>累计预算使用率</t>
  </si>
  <si>
    <t>累计实际转储金额/全年总预算</t>
    <phoneticPr fontId="4" type="noConversion"/>
  </si>
  <si>
    <t>&lt;100%</t>
  </si>
  <si>
    <t>累计库存金额（W）</t>
    <phoneticPr fontId="4" type="noConversion"/>
  </si>
  <si>
    <t>IT累计备件库存总金额</t>
    <phoneticPr fontId="4" type="noConversion"/>
  </si>
  <si>
    <t>累计削价金额（W）</t>
    <phoneticPr fontId="4" type="noConversion"/>
  </si>
  <si>
    <t>IT累计备件削价总金额</t>
    <phoneticPr fontId="4" type="noConversion"/>
  </si>
  <si>
    <t>新增备件削价（W）</t>
    <phoneticPr fontId="4" type="noConversion"/>
  </si>
  <si>
    <t>新增备件削价金额</t>
    <phoneticPr fontId="4" type="noConversion"/>
  </si>
  <si>
    <t>备件周转率</t>
    <phoneticPr fontId="4" type="noConversion"/>
  </si>
  <si>
    <t>派件数量/所有库存数量（平均库存数量((期初库存+期末库存)/2)）</t>
    <phoneticPr fontId="4" type="noConversion"/>
  </si>
  <si>
    <t>按季度</t>
    <phoneticPr fontId="4" type="noConversion"/>
  </si>
  <si>
    <t>备件运营</t>
  </si>
  <si>
    <t>备件月派件量</t>
    <phoneticPr fontId="4" type="noConversion"/>
  </si>
  <si>
    <t>备件派件量</t>
    <phoneticPr fontId="4" type="noConversion"/>
  </si>
  <si>
    <t>刘峰</t>
  </si>
  <si>
    <t>IT备件月收货量</t>
    <phoneticPr fontId="4" type="noConversion"/>
  </si>
  <si>
    <t>备件月收货量</t>
    <phoneticPr fontId="4" type="noConversion"/>
  </si>
  <si>
    <t>曹洲</t>
  </si>
  <si>
    <t>IT总收货量</t>
    <phoneticPr fontId="4" type="noConversion"/>
  </si>
  <si>
    <t>备件月总收货量</t>
    <phoneticPr fontId="4" type="noConversion"/>
  </si>
  <si>
    <t>曹洲</t>
    <phoneticPr fontId="4" type="noConversion"/>
  </si>
  <si>
    <t>当月收货及时率</t>
    <phoneticPr fontId="4" type="noConversion"/>
  </si>
  <si>
    <t>当月收货量/总收货量</t>
    <phoneticPr fontId="4" type="noConversion"/>
  </si>
  <si>
    <t>&gt;99%</t>
    <phoneticPr fontId="4" type="noConversion"/>
  </si>
  <si>
    <t>IT备件发货量</t>
  </si>
  <si>
    <t>备件发货量</t>
  </si>
  <si>
    <t>当月发货及时率</t>
    <phoneticPr fontId="4" type="noConversion"/>
  </si>
  <si>
    <t>当月发货量/总发货量</t>
    <phoneticPr fontId="4" type="noConversion"/>
  </si>
  <si>
    <t>≥99.9%</t>
    <phoneticPr fontId="4" type="noConversion"/>
  </si>
  <si>
    <t>收发货准确率</t>
    <phoneticPr fontId="4" type="noConversion"/>
  </si>
  <si>
    <t>收发货准确量/总收发货量</t>
  </si>
  <si>
    <t>IT备件应盘总量-武汉总库</t>
    <phoneticPr fontId="4" type="noConversion"/>
  </si>
  <si>
    <t>应盘点总数量</t>
  </si>
  <si>
    <t>年中&amp;年终统计</t>
    <phoneticPr fontId="4" type="noConversion"/>
  </si>
  <si>
    <t>IT备件实盘总量-武汉总库</t>
  </si>
  <si>
    <t>实盘量</t>
  </si>
  <si>
    <t>IT备件武汉总库盘点准确率</t>
  </si>
  <si>
    <t>实盘量/应盘量</t>
  </si>
  <si>
    <t>IT备件应盘总量-一诺备件库</t>
  </si>
  <si>
    <t>IT备件实盘总量-一诺备件库</t>
  </si>
  <si>
    <t>IT备件一诺备件库盘点准确率</t>
  </si>
  <si>
    <t>故障件返回及时率</t>
  </si>
  <si>
    <t>当月7天返回量/当月报故应返回总量</t>
  </si>
  <si>
    <t>≥90%</t>
  </si>
  <si>
    <t>累计故障件未返回数量</t>
    <phoneticPr fontId="4" type="noConversion"/>
  </si>
  <si>
    <t>刘峰</t>
    <phoneticPr fontId="4" type="noConversion"/>
  </si>
  <si>
    <t>备件技术</t>
  </si>
  <si>
    <t>IT故障件测试量</t>
  </si>
  <si>
    <t>IT故障件测试总量</t>
  </si>
  <si>
    <t>雷战国</t>
  </si>
  <si>
    <t>IT备件故障率</t>
  </si>
  <si>
    <t>测试故障量/总故障测试量</t>
  </si>
  <si>
    <t>IT转储备件测试量</t>
    <phoneticPr fontId="4" type="noConversion"/>
  </si>
  <si>
    <t>IT转储备件测试总量</t>
    <phoneticPr fontId="4" type="noConversion"/>
  </si>
  <si>
    <t>IT转储件故障率</t>
  </si>
  <si>
    <t>测试转储量/总转储测试量</t>
  </si>
  <si>
    <t>IT修复件测试量</t>
  </si>
  <si>
    <t>IT修复件测试总量</t>
  </si>
  <si>
    <t>IT备件总测试量</t>
  </si>
  <si>
    <t>进出备件测试总量</t>
  </si>
  <si>
    <t>IT备件及时测试率</t>
  </si>
  <si>
    <t>24h测试完成量/备件测试总量</t>
  </si>
  <si>
    <t>≥98%</t>
  </si>
  <si>
    <t>IT备件品质交付率</t>
  </si>
  <si>
    <t>交付良品量/交付总量</t>
  </si>
  <si>
    <t>IT备件好品率</t>
  </si>
  <si>
    <t>好件量/总满足量</t>
  </si>
  <si>
    <t>NTF率</t>
  </si>
  <si>
    <t>返回故障件测试无故障数量/总报故障数量</t>
  </si>
  <si>
    <t>替代关系输出</t>
  </si>
  <si>
    <t>替代关系输出量</t>
  </si>
  <si>
    <t>备件RMA</t>
  </si>
  <si>
    <t>测试申请RMA总量</t>
  </si>
  <si>
    <t>测试确认故障申请RMA总量</t>
  </si>
  <si>
    <t>程帆</t>
  </si>
  <si>
    <t>供应商鉴权过保报废</t>
  </si>
  <si>
    <t>RMA过保申请报废总量</t>
  </si>
  <si>
    <t>实物返供应商总量</t>
  </si>
  <si>
    <t>RMA在保实物返供应商总量</t>
  </si>
  <si>
    <t>IT备件RMA达成率</t>
  </si>
  <si>
    <t>30天返回量/实物返修供应商量</t>
  </si>
  <si>
    <t>IT备件RMA率</t>
  </si>
  <si>
    <t>RMA在保实物返供应商总量/测试确认故障申请RMA总量</t>
  </si>
  <si>
    <t>按季度统计</t>
    <phoneticPr fontId="4" type="noConversion"/>
  </si>
  <si>
    <t>第三方维修送修总量</t>
  </si>
  <si>
    <t>测试确认故障送第三方维修总量</t>
  </si>
  <si>
    <t>第三方修复好件数量</t>
  </si>
  <si>
    <t>测试ok的修复件数量</t>
  </si>
  <si>
    <t>第三方送修修复率</t>
  </si>
  <si>
    <t>测试ok的修复件数量/测试确认故障送第三方维修总量</t>
    <phoneticPr fontId="4" type="noConversion"/>
  </si>
  <si>
    <t>≥60%，按季度统计</t>
    <phoneticPr fontId="4" type="noConversion"/>
  </si>
  <si>
    <t>PC</t>
  </si>
  <si>
    <t>PC整机累计销售数量</t>
    <phoneticPr fontId="4" type="noConversion"/>
  </si>
  <si>
    <t>覆盖PC总数量（交付在保量）</t>
    <phoneticPr fontId="4" type="noConversion"/>
  </si>
  <si>
    <t>胡海霞</t>
  </si>
  <si>
    <t>物料累计销售数量</t>
  </si>
  <si>
    <t>覆盖5*9*NBD数量</t>
    <phoneticPr fontId="4" type="noConversion"/>
  </si>
  <si>
    <t>累计基础+量</t>
  </si>
  <si>
    <t>PC交付城市数量</t>
  </si>
  <si>
    <t>PC累计交付城市数量</t>
    <phoneticPr fontId="4" type="noConversion"/>
  </si>
  <si>
    <t>测算量/销量</t>
  </si>
  <si>
    <t>备件需求量</t>
  </si>
  <si>
    <t>报故备件量</t>
  </si>
  <si>
    <t>备件命中量</t>
  </si>
  <si>
    <t>备件命中率</t>
  </si>
  <si>
    <t>命中量/报故量</t>
  </si>
  <si>
    <t>≥95%</t>
  </si>
  <si>
    <t>备件覆盖率</t>
  </si>
  <si>
    <t>可用维修备件数量（仅合格品库）/在保备件数量</t>
  </si>
  <si>
    <t>备件实际采购额度</t>
  </si>
  <si>
    <t>累计实际转储金额/全年总预算</t>
  </si>
  <si>
    <t>PC备件SLA达成量</t>
  </si>
  <si>
    <t>备件达成量</t>
  </si>
  <si>
    <t>PC备件SLA达成率</t>
  </si>
  <si>
    <t>备件达成量/报故量</t>
  </si>
  <si>
    <t>PC备件实际用量</t>
  </si>
  <si>
    <t>实际使用量</t>
  </si>
  <si>
    <t>PC备件实际使用率</t>
  </si>
  <si>
    <t>实际使用量/需求量</t>
  </si>
  <si>
    <t>CT</t>
  </si>
  <si>
    <t>CT报故数量</t>
  </si>
  <si>
    <t>数通报修总量</t>
  </si>
  <si>
    <t>王义</t>
  </si>
  <si>
    <t>CT产品RMA量</t>
  </si>
  <si>
    <t>总返修供应商量</t>
  </si>
  <si>
    <t>CT保内达成量</t>
  </si>
  <si>
    <t>数通保内达成量</t>
  </si>
  <si>
    <t>CT10日达成率（保内）</t>
  </si>
  <si>
    <t>10工作日内保内累计平均达成率</t>
  </si>
  <si>
    <t>≥97%</t>
  </si>
  <si>
    <t>CT备件先行发货量</t>
  </si>
  <si>
    <t>产生备件先行发货量</t>
  </si>
  <si>
    <t>CT备件先行达成率</t>
  </si>
  <si>
    <t>备件先行达成率</t>
  </si>
  <si>
    <t>CT保外报单量</t>
  </si>
  <si>
    <t>保外报单量</t>
  </si>
  <si>
    <t>CT保外成交量</t>
  </si>
  <si>
    <t>保外成交量</t>
  </si>
  <si>
    <t>CT保外收入</t>
  </si>
  <si>
    <t>保外付款总收入</t>
  </si>
  <si>
    <t>CT保外利润</t>
  </si>
  <si>
    <t>保外总收入-应付供应商保外维修费</t>
  </si>
  <si>
    <t>CT10日达成率（保外）</t>
  </si>
  <si>
    <t xml:space="preserve">10工作日内保外累计平均达成率
</t>
  </si>
  <si>
    <t>CT销售品类</t>
  </si>
  <si>
    <t>前三年销售品类</t>
  </si>
  <si>
    <t>CT累计销售数量</t>
  </si>
  <si>
    <t>前三年销售量</t>
  </si>
  <si>
    <t>CT周测算达成率</t>
  </si>
  <si>
    <t>CT</t>
    <phoneticPr fontId="4" type="noConversion"/>
  </si>
  <si>
    <t>维修报价单编写</t>
  </si>
  <si>
    <t>客责处理</t>
  </si>
  <si>
    <t>维修报告编写</t>
  </si>
  <si>
    <t>CT产品故障件测试量</t>
  </si>
  <si>
    <t>CT故障件测试总量</t>
  </si>
  <si>
    <t>CT产品修复件测试量</t>
  </si>
  <si>
    <t>CT修复件测试总量</t>
  </si>
  <si>
    <t>CT产品及时测试率</t>
  </si>
  <si>
    <t>复测24h及时量/测试总量</t>
  </si>
  <si>
    <t>大客户</t>
  </si>
  <si>
    <t>国内/台湾等大客户报修量</t>
  </si>
  <si>
    <t>大客户报单数量</t>
  </si>
  <si>
    <t>国内/台湾等大客户报修达成率</t>
  </si>
  <si>
    <t>海外</t>
  </si>
  <si>
    <t>海外报单量</t>
  </si>
  <si>
    <t>海外报单数量</t>
  </si>
  <si>
    <t>海外应发货量</t>
  </si>
  <si>
    <t>海外应发货数量</t>
  </si>
  <si>
    <t>海外实发货量</t>
  </si>
  <si>
    <t>海外实发货数量</t>
  </si>
  <si>
    <t>海外备件达成率</t>
  </si>
  <si>
    <t>海外备件达成量/海外备件需求量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</si>
</sst>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%"/>
    <numFmt numFmtId="178" formatCode="0_ "/>
  </numFmts>
  <fonts count="1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  <font>
      <sz val="10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</cellStyleXfs>
  <cellXfs count="79">
    <xf numFmtId="0" fontId="0" fillId="0" borderId="0" xfId="0">
      <alignment vertical="center"/>
    </xf>
    <xf numFmtId="0" fontId="2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57" fontId="5" fillId="2" borderId="1" xfId="2" applyNumberFormat="1" applyFont="1" applyFill="1" applyBorder="1" applyAlignment="1">
      <alignment horizontal="center" vertical="center"/>
    </xf>
    <xf numFmtId="0" fontId="1" fillId="2" borderId="1" xfId="2" applyFill="1" applyBorder="1" applyAlignment="1"/>
    <xf numFmtId="0" fontId="1" fillId="0" borderId="0" xfId="2" applyAlignment="1"/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1" xfId="2" applyFont="1" applyBorder="1" applyAlignment="1"/>
    <xf numFmtId="0" fontId="1" fillId="0" borderId="1" xfId="2" applyBorder="1" applyAlignment="1">
      <alignment horizontal="center"/>
    </xf>
    <xf numFmtId="0" fontId="1" fillId="0" borderId="1" xfId="2" applyBorder="1" applyAlignment="1"/>
    <xf numFmtId="0" fontId="6" fillId="0" borderId="1" xfId="2" applyFont="1" applyBorder="1">
      <alignment vertical="center"/>
    </xf>
    <xf numFmtId="0" fontId="1" fillId="0" borderId="3" xfId="2" applyBorder="1" applyAlignment="1">
      <alignment horizontal="center"/>
    </xf>
    <xf numFmtId="0" fontId="6" fillId="0" borderId="2" xfId="2" applyFont="1" applyBorder="1">
      <alignment vertical="center"/>
    </xf>
    <xf numFmtId="0" fontId="6" fillId="0" borderId="2" xfId="2" applyFont="1" applyBorder="1" applyAlignment="1"/>
    <xf numFmtId="0" fontId="1" fillId="0" borderId="2" xfId="2" applyBorder="1" applyAlignment="1">
      <alignment horizontal="center"/>
    </xf>
    <xf numFmtId="0" fontId="7" fillId="0" borderId="3" xfId="2" applyFont="1" applyBorder="1" applyAlignment="1">
      <alignment horizontal="center"/>
    </xf>
    <xf numFmtId="0" fontId="1" fillId="0" borderId="2" xfId="2" applyBorder="1" applyAlignment="1"/>
    <xf numFmtId="0" fontId="7" fillId="0" borderId="1" xfId="2" applyFont="1" applyBorder="1" applyAlignment="1">
      <alignment horizontal="center"/>
    </xf>
    <xf numFmtId="10" fontId="1" fillId="0" borderId="1" xfId="2" applyNumberFormat="1" applyBorder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4" xfId="2" applyFont="1" applyBorder="1">
      <alignment vertical="center"/>
    </xf>
    <xf numFmtId="0" fontId="6" fillId="0" borderId="4" xfId="2" applyFont="1" applyBorder="1" applyAlignment="1"/>
    <xf numFmtId="0" fontId="1" fillId="0" borderId="4" xfId="2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1" fillId="0" borderId="4" xfId="2" applyBorder="1" applyAlignment="1"/>
    <xf numFmtId="9" fontId="6" fillId="0" borderId="1" xfId="2" applyNumberFormat="1" applyFont="1" applyBorder="1" applyAlignment="1">
      <alignment horizontal="center" vertical="center"/>
    </xf>
    <xf numFmtId="9" fontId="1" fillId="0" borderId="1" xfId="2" applyNumberFormat="1" applyBorder="1" applyAlignment="1">
      <alignment horizontal="center"/>
    </xf>
    <xf numFmtId="9" fontId="8" fillId="0" borderId="1" xfId="2" applyNumberFormat="1" applyFont="1" applyBorder="1" applyAlignment="1">
      <alignment horizontal="center" vertical="center"/>
    </xf>
    <xf numFmtId="2" fontId="1" fillId="0" borderId="1" xfId="2" applyNumberFormat="1" applyBorder="1" applyAlignment="1">
      <alignment horizontal="center"/>
    </xf>
    <xf numFmtId="2" fontId="8" fillId="0" borderId="1" xfId="2" applyNumberFormat="1" applyFont="1" applyBorder="1" applyAlignment="1">
      <alignment horizontal="center"/>
    </xf>
    <xf numFmtId="10" fontId="7" fillId="0" borderId="1" xfId="2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center"/>
    </xf>
    <xf numFmtId="9" fontId="9" fillId="0" borderId="1" xfId="2" applyNumberFormat="1" applyFont="1" applyBorder="1" applyAlignment="1">
      <alignment horizontal="center"/>
    </xf>
    <xf numFmtId="9" fontId="10" fillId="0" borderId="1" xfId="2" applyNumberFormat="1" applyFont="1" applyBorder="1" applyAlignment="1">
      <alignment horizontal="center"/>
    </xf>
    <xf numFmtId="10" fontId="6" fillId="0" borderId="1" xfId="2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/>
    </xf>
    <xf numFmtId="10" fontId="8" fillId="0" borderId="1" xfId="1" applyNumberFormat="1" applyFont="1" applyFill="1" applyBorder="1" applyAlignment="1">
      <alignment horizontal="center" vertical="center"/>
    </xf>
    <xf numFmtId="0" fontId="1" fillId="0" borderId="0" xfId="2">
      <alignment vertical="center"/>
    </xf>
    <xf numFmtId="9" fontId="6" fillId="0" borderId="1" xfId="2" applyNumberFormat="1" applyFont="1" applyBorder="1" applyAlignment="1">
      <alignment horizontal="center"/>
    </xf>
    <xf numFmtId="10" fontId="8" fillId="0" borderId="1" xfId="2" applyNumberFormat="1" applyFont="1" applyBorder="1" applyAlignment="1">
      <alignment horizontal="center" vertical="center"/>
    </xf>
    <xf numFmtId="0" fontId="1" fillId="0" borderId="5" xfId="2" applyBorder="1" applyAlignment="1">
      <alignment horizontal="center"/>
    </xf>
    <xf numFmtId="0" fontId="7" fillId="0" borderId="6" xfId="2" applyFont="1" applyBorder="1" applyAlignment="1">
      <alignment horizontal="center"/>
    </xf>
    <xf numFmtId="0" fontId="1" fillId="0" borderId="6" xfId="2" applyBorder="1" applyAlignment="1">
      <alignment horizontal="center"/>
    </xf>
    <xf numFmtId="0" fontId="1" fillId="0" borderId="7" xfId="2" applyBorder="1" applyAlignment="1">
      <alignment horizontal="center"/>
    </xf>
    <xf numFmtId="10" fontId="7" fillId="0" borderId="1" xfId="2" applyNumberFormat="1" applyFont="1" applyBorder="1" applyAlignment="1">
      <alignment horizontal="center"/>
    </xf>
    <xf numFmtId="10" fontId="11" fillId="0" borderId="1" xfId="2" applyNumberFormat="1" applyFont="1" applyBorder="1" applyAlignment="1">
      <alignment horizontal="center"/>
    </xf>
    <xf numFmtId="0" fontId="1" fillId="0" borderId="1" xfId="2" applyBorder="1" applyAlignment="1">
      <alignment horizontal="center" vertical="center"/>
    </xf>
    <xf numFmtId="176" fontId="1" fillId="0" borderId="1" xfId="2" applyNumberFormat="1" applyBorder="1" applyAlignment="1">
      <alignment horizontal="center"/>
    </xf>
    <xf numFmtId="0" fontId="8" fillId="0" borderId="1" xfId="2" applyFont="1" applyBorder="1" applyAlignment="1">
      <alignment horizontal="center"/>
    </xf>
    <xf numFmtId="10" fontId="6" fillId="0" borderId="1" xfId="2" applyNumberFormat="1" applyFont="1" applyBorder="1" applyAlignment="1"/>
    <xf numFmtId="10" fontId="8" fillId="0" borderId="1" xfId="3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/>
    </xf>
    <xf numFmtId="3" fontId="6" fillId="0" borderId="1" xfId="2" applyNumberFormat="1" applyFont="1" applyBorder="1" applyAlignment="1">
      <alignment horizontal="center" vertical="center"/>
    </xf>
    <xf numFmtId="3" fontId="8" fillId="0" borderId="1" xfId="2" applyNumberFormat="1" applyFont="1" applyBorder="1" applyAlignment="1">
      <alignment horizontal="center" vertical="center"/>
    </xf>
    <xf numFmtId="177" fontId="1" fillId="0" borderId="1" xfId="2" applyNumberFormat="1" applyBorder="1" applyAlignment="1">
      <alignment horizontal="center"/>
    </xf>
    <xf numFmtId="10" fontId="8" fillId="0" borderId="1" xfId="2" applyNumberFormat="1" applyFont="1" applyBorder="1" applyAlignment="1">
      <alignment horizontal="center"/>
    </xf>
    <xf numFmtId="9" fontId="1" fillId="0" borderId="5" xfId="2" applyNumberFormat="1" applyBorder="1" applyAlignment="1">
      <alignment horizontal="center"/>
    </xf>
    <xf numFmtId="9" fontId="1" fillId="0" borderId="6" xfId="2" applyNumberFormat="1" applyBorder="1" applyAlignment="1">
      <alignment horizontal="center"/>
    </xf>
    <xf numFmtId="9" fontId="1" fillId="0" borderId="7" xfId="2" applyNumberFormat="1" applyBorder="1" applyAlignment="1">
      <alignment horizontal="center"/>
    </xf>
    <xf numFmtId="2" fontId="6" fillId="0" borderId="1" xfId="2" applyNumberFormat="1" applyFont="1" applyBorder="1" applyAlignment="1">
      <alignment horizontal="center"/>
    </xf>
    <xf numFmtId="0" fontId="12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left"/>
    </xf>
    <xf numFmtId="178" fontId="8" fillId="0" borderId="1" xfId="1" applyNumberFormat="1" applyFont="1" applyFill="1" applyBorder="1" applyAlignment="1">
      <alignment horizontal="center"/>
    </xf>
    <xf numFmtId="9" fontId="8" fillId="0" borderId="1" xfId="2" applyNumberFormat="1" applyFont="1" applyBorder="1" applyAlignment="1">
      <alignment horizontal="center"/>
    </xf>
    <xf numFmtId="178" fontId="1" fillId="0" borderId="1" xfId="2" applyNumberFormat="1" applyBorder="1" applyAlignment="1">
      <alignment horizontal="center"/>
    </xf>
    <xf numFmtId="178" fontId="8" fillId="0" borderId="1" xfId="2" applyNumberFormat="1" applyFont="1" applyBorder="1" applyAlignment="1">
      <alignment horizontal="center"/>
    </xf>
    <xf numFmtId="0" fontId="8" fillId="0" borderId="6" xfId="2" applyFont="1" applyBorder="1" applyAlignment="1">
      <alignment horizontal="center"/>
    </xf>
    <xf numFmtId="9" fontId="6" fillId="0" borderId="2" xfId="2" applyNumberFormat="1" applyFont="1" applyBorder="1" applyAlignment="1">
      <alignment horizontal="center"/>
    </xf>
    <xf numFmtId="9" fontId="1" fillId="0" borderId="2" xfId="2" applyNumberFormat="1" applyBorder="1" applyAlignment="1">
      <alignment horizontal="center"/>
    </xf>
    <xf numFmtId="9" fontId="7" fillId="0" borderId="2" xfId="2" applyNumberFormat="1" applyFont="1" applyBorder="1" applyAlignment="1">
      <alignment horizontal="center"/>
    </xf>
    <xf numFmtId="0" fontId="6" fillId="0" borderId="0" xfId="2" applyFont="1" applyAlignment="1"/>
    <xf numFmtId="0" fontId="1" fillId="0" borderId="0" xfId="2" applyAlignment="1">
      <alignment horizontal="center"/>
    </xf>
    <xf numFmtId="176" fontId="1" fillId="0" borderId="0" xfId="2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13" fillId="0" borderId="1" xfId="2" applyFont="1" applyBorder="1" applyAlignment="1">
      <alignment horizontal="center" vertical="center"/>
    </xf>
    <xf numFmtId="0" fontId="6" fillId="0" borderId="0" xfId="2" applyFont="1" applyAlignment="1">
      <alignment horizontal="center"/>
    </xf>
  </cellXfs>
  <cellStyles count="4">
    <cellStyle name="百分比" xfId="1" builtinId="5"/>
    <cellStyle name="常规" xfId="0" builtinId="0"/>
    <cellStyle name="常规 2" xfId="2" xr:uid="{A1A72893-FC39-47E4-8C7E-8251619A65B7}"/>
    <cellStyle name="常规 4" xfId="3" xr:uid="{2A464D05-3B4C-455A-8923-C0C2B179E0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22791;&#20214;&#31995;&#32479;/&#22791;&#20214;&#38144;&#20215;&#21644;&#35268;&#27169;&#20132;&#25509;---20241129/25&#24180;9&#26376;&#22522;&#30784;&#25968;&#25454;/&#20449;&#21019;&#38598;&#22242;&#21066;&#20215;&#26085;&#25253;-2025.10.01.xlsx" TargetMode="External"/><Relationship Id="rId1" Type="http://schemas.openxmlformats.org/officeDocument/2006/relationships/externalLinkPath" Target="/&#22791;&#20214;&#31995;&#32479;/&#22791;&#20214;&#38144;&#20215;&#21644;&#35268;&#27169;&#20132;&#25509;---20241129/25&#24180;9&#26376;&#22522;&#30784;&#25968;&#25454;/&#20449;&#21019;&#38598;&#22242;&#21066;&#20215;&#26085;&#25253;-2025.10.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24037;&#20316;/0.000&#36816;&#33829;/0.1&#23398;&#20064;&#36164;&#26009;/DI&#31995;&#32479;&#25805;&#20316;/&#20449;&#21019;&#38598;&#22242;&#21066;&#20215;&#26085;&#25253;.xlsx" TargetMode="External"/><Relationship Id="rId1" Type="http://schemas.openxmlformats.org/officeDocument/2006/relationships/externalLinkPath" Target="/&#24037;&#20316;/0.000&#36816;&#33829;/0.1&#23398;&#20064;&#36164;&#26009;/DI&#31995;&#32479;&#25805;&#20316;/&#20449;&#21019;&#38598;&#22242;&#21066;&#20215;&#26085;&#2525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削价明细_样机&amp;备品备件明细-24个月"/>
      <sheetName val="削价明细_样机&amp;备品备件明细-36个月"/>
      <sheetName val="削价明细_削价明细"/>
      <sheetName val="削价总览_物料组维度统计"/>
      <sheetName val="削价总览_按业务范围统计"/>
      <sheetName val="削价总览_削价总览"/>
      <sheetName val="产成品统计_产成品统计--样机"/>
      <sheetName val="产成品统计_按部门概览-业务"/>
      <sheetName val="产成品统计_产成品统计-业务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削价总览"/>
      <sheetName val="按业务范围统计"/>
      <sheetName val="物料组维度统计"/>
      <sheetName val="产成品统计"/>
      <sheetName val="削价明细"/>
      <sheetName val="样机&amp;备品备件明细-24个月"/>
      <sheetName val="备品备件明细-36个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79F8-E052-449D-AFDE-E79361FC7767}">
  <dimension ref="A1:V120"/>
  <sheetViews>
    <sheetView tabSelected="1" topLeftCell="E1" zoomScale="115" zoomScaleNormal="115" workbookViewId="0">
      <pane ySplit="1" topLeftCell="A2" activePane="bottomLeft" state="frozen"/>
      <selection pane="bottomLeft" activeCell="G4" sqref="G4"/>
    </sheetView>
  </sheetViews>
  <sheetFormatPr defaultColWidth="8.6640625" defaultRowHeight="14" outlineLevelCol="1" x14ac:dyDescent="0.3"/>
  <cols>
    <col min="1" max="1" width="11.4140625" style="73" customWidth="1"/>
    <col min="2" max="2" width="12.83203125" style="73" customWidth="1"/>
    <col min="3" max="3" width="24" style="73" customWidth="1"/>
    <col min="4" max="4" width="44" style="5" customWidth="1"/>
    <col min="5" max="5" width="17.5" style="74" customWidth="1"/>
    <col min="6" max="6" width="12.83203125" style="5" customWidth="1"/>
    <col min="7" max="11" width="14.83203125" style="74" customWidth="1"/>
    <col min="12" max="12" width="10.58203125" style="74" customWidth="1"/>
    <col min="13" max="16" width="11.6640625" style="74" customWidth="1"/>
    <col min="17" max="22" width="11.6640625" style="74" customWidth="1" outlineLevel="1"/>
    <col min="23" max="16384" width="8.6640625" style="5"/>
  </cols>
  <sheetData>
    <row r="1" spans="1:22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4" t="s">
        <v>5</v>
      </c>
      <c r="G1" s="3">
        <v>45292</v>
      </c>
      <c r="H1" s="3">
        <v>45931</v>
      </c>
      <c r="I1" s="3">
        <v>45962</v>
      </c>
      <c r="J1" s="3">
        <v>45992</v>
      </c>
      <c r="K1" s="3">
        <v>46023</v>
      </c>
      <c r="L1" s="3">
        <v>46054</v>
      </c>
      <c r="M1" s="3">
        <v>46082</v>
      </c>
      <c r="N1" s="3">
        <v>46113</v>
      </c>
      <c r="O1" s="3">
        <v>46143</v>
      </c>
      <c r="P1" s="3">
        <v>46175</v>
      </c>
      <c r="Q1" s="3">
        <v>46206</v>
      </c>
      <c r="R1" s="3">
        <v>46238</v>
      </c>
      <c r="S1" s="3">
        <v>46270</v>
      </c>
      <c r="T1" s="3">
        <v>46301</v>
      </c>
      <c r="U1" s="3">
        <v>46333</v>
      </c>
      <c r="V1" s="3">
        <v>46364</v>
      </c>
    </row>
    <row r="2" spans="1:22" x14ac:dyDescent="0.3">
      <c r="A2" s="6" t="s">
        <v>6</v>
      </c>
      <c r="B2" s="7" t="s">
        <v>7</v>
      </c>
      <c r="C2" s="8" t="s">
        <v>8</v>
      </c>
      <c r="D2" s="8" t="s">
        <v>9</v>
      </c>
      <c r="E2" s="6" t="s">
        <v>10</v>
      </c>
      <c r="F2" s="10" t="s">
        <v>11</v>
      </c>
      <c r="G2" s="9">
        <v>42</v>
      </c>
      <c r="H2" s="9">
        <v>42</v>
      </c>
      <c r="I2" s="9">
        <v>42</v>
      </c>
      <c r="J2" s="9">
        <v>42</v>
      </c>
      <c r="K2" s="9">
        <v>42</v>
      </c>
      <c r="L2" s="9">
        <v>42</v>
      </c>
      <c r="M2" s="9">
        <v>42</v>
      </c>
      <c r="N2" s="9">
        <v>42</v>
      </c>
      <c r="O2" s="9">
        <v>42</v>
      </c>
      <c r="P2" s="9">
        <v>42</v>
      </c>
      <c r="Q2" s="9"/>
      <c r="R2" s="9"/>
      <c r="S2" s="9"/>
      <c r="T2" s="9"/>
      <c r="U2" s="9"/>
      <c r="V2" s="9"/>
    </row>
    <row r="3" spans="1:22" x14ac:dyDescent="0.3">
      <c r="A3" s="6" t="s">
        <v>12</v>
      </c>
      <c r="B3" s="7" t="s">
        <v>7</v>
      </c>
      <c r="C3" s="8" t="s">
        <v>13</v>
      </c>
      <c r="D3" s="8" t="s">
        <v>14</v>
      </c>
      <c r="E3" s="6" t="s">
        <v>10</v>
      </c>
      <c r="F3" s="10" t="s">
        <v>11</v>
      </c>
      <c r="G3" s="9">
        <v>109</v>
      </c>
      <c r="H3" s="9">
        <v>109</v>
      </c>
      <c r="I3" s="9">
        <v>109</v>
      </c>
      <c r="J3" s="9">
        <v>109</v>
      </c>
      <c r="K3" s="9">
        <v>109</v>
      </c>
      <c r="L3" s="9">
        <v>109</v>
      </c>
      <c r="M3" s="9">
        <v>109</v>
      </c>
      <c r="N3" s="9">
        <v>109</v>
      </c>
      <c r="O3" s="9">
        <f>43+80</f>
        <v>123</v>
      </c>
      <c r="P3" s="9">
        <f>43+80</f>
        <v>123</v>
      </c>
      <c r="Q3" s="9"/>
      <c r="R3" s="9"/>
      <c r="S3" s="9"/>
      <c r="T3" s="9"/>
      <c r="U3" s="9"/>
      <c r="V3" s="9"/>
    </row>
    <row r="4" spans="1:22" x14ac:dyDescent="0.3">
      <c r="A4" s="6" t="s">
        <v>6</v>
      </c>
      <c r="B4" s="7" t="s">
        <v>7</v>
      </c>
      <c r="C4" s="11" t="s">
        <v>15</v>
      </c>
      <c r="D4" s="8" t="s">
        <v>16</v>
      </c>
      <c r="E4" s="6" t="s">
        <v>10</v>
      </c>
      <c r="F4" s="10" t="s">
        <v>11</v>
      </c>
      <c r="G4" s="9">
        <v>148146</v>
      </c>
      <c r="H4" s="9">
        <v>148146</v>
      </c>
      <c r="I4" s="9">
        <v>148146</v>
      </c>
      <c r="J4" s="9">
        <v>148146</v>
      </c>
      <c r="K4" s="9">
        <v>148146</v>
      </c>
      <c r="L4" s="9">
        <v>150516</v>
      </c>
      <c r="M4" s="9">
        <v>148189</v>
      </c>
      <c r="N4" s="9">
        <v>150622</v>
      </c>
      <c r="O4" s="9">
        <v>158037</v>
      </c>
      <c r="P4" s="9">
        <v>158664</v>
      </c>
      <c r="Q4" s="9"/>
      <c r="R4" s="9"/>
      <c r="S4" s="9"/>
      <c r="T4" s="9"/>
      <c r="U4" s="9"/>
      <c r="V4" s="9"/>
    </row>
    <row r="5" spans="1:22" ht="14.25" customHeight="1" x14ac:dyDescent="0.3">
      <c r="A5" s="6" t="s">
        <v>6</v>
      </c>
      <c r="B5" s="7" t="s">
        <v>7</v>
      </c>
      <c r="C5" s="11" t="s">
        <v>17</v>
      </c>
      <c r="D5" s="8" t="s">
        <v>18</v>
      </c>
      <c r="E5" s="6" t="s">
        <v>10</v>
      </c>
      <c r="F5" s="10" t="s">
        <v>11</v>
      </c>
      <c r="G5" s="9">
        <v>2691787</v>
      </c>
      <c r="H5" s="9">
        <v>2691787</v>
      </c>
      <c r="I5" s="9">
        <v>2691787</v>
      </c>
      <c r="J5" s="9">
        <v>2691787</v>
      </c>
      <c r="K5" s="9">
        <v>2691787</v>
      </c>
      <c r="L5" s="12">
        <v>2713272</v>
      </c>
      <c r="M5" s="9">
        <v>2691406</v>
      </c>
      <c r="N5" s="9">
        <v>2787050</v>
      </c>
      <c r="O5" s="9">
        <v>2845731</v>
      </c>
      <c r="P5" s="9">
        <v>2883889</v>
      </c>
      <c r="Q5" s="9"/>
      <c r="R5" s="9"/>
      <c r="S5" s="9"/>
      <c r="T5" s="9"/>
      <c r="U5" s="9"/>
      <c r="V5" s="9"/>
    </row>
    <row r="6" spans="1:22" ht="14.25" customHeight="1" x14ac:dyDescent="0.3">
      <c r="A6" s="6" t="s">
        <v>6</v>
      </c>
      <c r="B6" s="7" t="s">
        <v>7</v>
      </c>
      <c r="C6" s="11" t="s">
        <v>17</v>
      </c>
      <c r="D6" s="8" t="s">
        <v>19</v>
      </c>
      <c r="E6" s="6" t="s">
        <v>10</v>
      </c>
      <c r="F6" s="10" t="s">
        <v>11</v>
      </c>
      <c r="G6" s="9">
        <v>5238492</v>
      </c>
      <c r="H6" s="9">
        <v>5238492</v>
      </c>
      <c r="I6" s="9">
        <v>5238492</v>
      </c>
      <c r="J6" s="9">
        <v>5238492</v>
      </c>
      <c r="K6" s="9">
        <v>5238492</v>
      </c>
      <c r="L6" s="9">
        <v>5360787</v>
      </c>
      <c r="M6" s="9">
        <v>5353680</v>
      </c>
      <c r="N6" s="9">
        <v>5404105</v>
      </c>
      <c r="O6" s="9">
        <v>5709513</v>
      </c>
      <c r="P6" s="9">
        <v>5848581</v>
      </c>
      <c r="Q6" s="9"/>
      <c r="R6" s="9"/>
      <c r="S6" s="9"/>
      <c r="T6" s="9"/>
      <c r="U6" s="9"/>
      <c r="V6" s="9"/>
    </row>
    <row r="7" spans="1:22" ht="14.25" customHeight="1" x14ac:dyDescent="0.3">
      <c r="A7" s="7" t="s">
        <v>6</v>
      </c>
      <c r="B7" s="7" t="s">
        <v>7</v>
      </c>
      <c r="C7" s="13" t="s">
        <v>17</v>
      </c>
      <c r="D7" s="14" t="s">
        <v>20</v>
      </c>
      <c r="E7" s="6" t="s">
        <v>10</v>
      </c>
      <c r="F7" s="17" t="s">
        <v>11</v>
      </c>
      <c r="G7" s="15">
        <v>1484459</v>
      </c>
      <c r="H7" s="15">
        <v>1484459</v>
      </c>
      <c r="I7" s="15">
        <v>1484459</v>
      </c>
      <c r="J7" s="15">
        <v>1484459</v>
      </c>
      <c r="K7" s="15">
        <v>1484459</v>
      </c>
      <c r="L7" s="16">
        <v>1503146</v>
      </c>
      <c r="M7" s="15">
        <v>1442955</v>
      </c>
      <c r="N7" s="15">
        <v>1443052</v>
      </c>
      <c r="O7" s="15">
        <v>1443082</v>
      </c>
      <c r="P7" s="15">
        <v>1443185</v>
      </c>
      <c r="Q7" s="15"/>
      <c r="R7" s="15"/>
      <c r="S7" s="15"/>
      <c r="T7" s="15"/>
      <c r="U7" s="15"/>
      <c r="V7" s="15"/>
    </row>
    <row r="8" spans="1:22" s="10" customFormat="1" ht="14.25" customHeight="1" x14ac:dyDescent="0.3">
      <c r="A8" s="6" t="s">
        <v>6</v>
      </c>
      <c r="B8" s="6" t="s">
        <v>7</v>
      </c>
      <c r="C8" s="11" t="s">
        <v>21</v>
      </c>
      <c r="D8" s="8" t="s">
        <v>22</v>
      </c>
      <c r="E8" s="6" t="s">
        <v>10</v>
      </c>
      <c r="F8" s="10" t="s">
        <v>23</v>
      </c>
      <c r="G8" s="9">
        <f>SUM(G5:G7)</f>
        <v>9414738</v>
      </c>
      <c r="H8" s="9">
        <f>SUM(H5:H7)</f>
        <v>9414738</v>
      </c>
      <c r="I8" s="9">
        <f>SUM(I5:I7)</f>
        <v>9414738</v>
      </c>
      <c r="J8" s="9">
        <f>SUM(J5:J7)</f>
        <v>9414738</v>
      </c>
      <c r="K8" s="9">
        <f>SUM(K5:K7)</f>
        <v>9414738</v>
      </c>
      <c r="L8" s="9">
        <f t="shared" ref="L8:P8" si="0">SUM(L5:L7)</f>
        <v>9577205</v>
      </c>
      <c r="M8" s="9">
        <f t="shared" si="0"/>
        <v>9488041</v>
      </c>
      <c r="N8" s="9">
        <f t="shared" si="0"/>
        <v>9634207</v>
      </c>
      <c r="O8" s="9">
        <f t="shared" si="0"/>
        <v>9998326</v>
      </c>
      <c r="P8" s="9">
        <f t="shared" si="0"/>
        <v>10175655</v>
      </c>
      <c r="Q8" s="9"/>
      <c r="R8" s="9"/>
      <c r="S8" s="9"/>
      <c r="T8" s="9"/>
      <c r="U8" s="9"/>
      <c r="V8" s="9"/>
    </row>
    <row r="9" spans="1:22" s="10" customFormat="1" ht="14.25" customHeight="1" x14ac:dyDescent="0.3">
      <c r="A9" s="6" t="s">
        <v>6</v>
      </c>
      <c r="B9" s="6" t="s">
        <v>7</v>
      </c>
      <c r="C9" s="11" t="s">
        <v>24</v>
      </c>
      <c r="D9" s="8" t="s">
        <v>25</v>
      </c>
      <c r="E9" s="6" t="s">
        <v>10</v>
      </c>
      <c r="F9" s="10" t="s">
        <v>23</v>
      </c>
      <c r="G9" s="9">
        <v>33051</v>
      </c>
      <c r="H9" s="9">
        <v>33051</v>
      </c>
      <c r="I9" s="9">
        <v>33051</v>
      </c>
      <c r="J9" s="9">
        <v>33051</v>
      </c>
      <c r="K9" s="9">
        <v>33051</v>
      </c>
      <c r="L9" s="18">
        <v>32993</v>
      </c>
      <c r="M9" s="9">
        <v>32995</v>
      </c>
      <c r="N9" s="9">
        <v>33096</v>
      </c>
      <c r="O9" s="9">
        <v>32938</v>
      </c>
      <c r="P9" s="9">
        <v>30380</v>
      </c>
      <c r="Q9" s="9"/>
      <c r="R9" s="9"/>
      <c r="S9" s="9"/>
      <c r="T9" s="9"/>
      <c r="U9" s="9"/>
      <c r="V9" s="9"/>
    </row>
    <row r="10" spans="1:22" ht="14.25" customHeight="1" x14ac:dyDescent="0.3">
      <c r="A10" s="6" t="s">
        <v>6</v>
      </c>
      <c r="B10" s="6" t="s">
        <v>7</v>
      </c>
      <c r="C10" s="11" t="s">
        <v>26</v>
      </c>
      <c r="D10" s="8" t="s">
        <v>27</v>
      </c>
      <c r="E10" s="6" t="s">
        <v>10</v>
      </c>
      <c r="F10" s="10" t="s">
        <v>23</v>
      </c>
      <c r="G10" s="9"/>
      <c r="H10" s="9"/>
      <c r="I10" s="9"/>
      <c r="J10" s="9"/>
      <c r="K10" s="9"/>
      <c r="L10" s="18"/>
      <c r="M10" s="9"/>
      <c r="N10" s="9"/>
      <c r="O10" s="9"/>
      <c r="P10" s="9">
        <v>24562</v>
      </c>
      <c r="Q10" s="9"/>
      <c r="R10" s="9"/>
      <c r="S10" s="9"/>
      <c r="T10" s="9"/>
      <c r="U10" s="9"/>
      <c r="V10" s="9"/>
    </row>
    <row r="11" spans="1:22" x14ac:dyDescent="0.3">
      <c r="A11" s="6" t="s">
        <v>6</v>
      </c>
      <c r="B11" s="7" t="s">
        <v>7</v>
      </c>
      <c r="C11" s="11" t="s">
        <v>28</v>
      </c>
      <c r="D11" s="8" t="s">
        <v>29</v>
      </c>
      <c r="E11" s="6" t="s">
        <v>10</v>
      </c>
      <c r="F11" s="10" t="s">
        <v>11</v>
      </c>
      <c r="G11" s="19">
        <f>G9/G8</f>
        <v>3.5105597203023602E-3</v>
      </c>
      <c r="H11" s="19">
        <f>H9/H8</f>
        <v>3.5105597203023602E-3</v>
      </c>
      <c r="I11" s="19">
        <f>I9/I8</f>
        <v>3.5105597203023602E-3</v>
      </c>
      <c r="J11" s="19">
        <f>J9/J8</f>
        <v>3.5105597203023602E-3</v>
      </c>
      <c r="K11" s="19">
        <f>K9/K8</f>
        <v>3.5105597203023602E-3</v>
      </c>
      <c r="L11" s="19">
        <f t="shared" ref="L11:O11" si="1">L9/L8</f>
        <v>3.4449507972315512E-3</v>
      </c>
      <c r="M11" s="19">
        <f t="shared" si="1"/>
        <v>3.4775355629260035E-3</v>
      </c>
      <c r="N11" s="19">
        <f t="shared" si="1"/>
        <v>3.4352593835694002E-3</v>
      </c>
      <c r="O11" s="19">
        <f t="shared" si="1"/>
        <v>3.2943514744368206E-3</v>
      </c>
      <c r="P11" s="19">
        <f>P9/P8</f>
        <v>2.9855571950896526E-3</v>
      </c>
      <c r="Q11" s="9"/>
      <c r="R11" s="9"/>
      <c r="S11" s="9"/>
      <c r="T11" s="9"/>
      <c r="U11" s="9"/>
      <c r="V11" s="9"/>
    </row>
    <row r="12" spans="1:22" x14ac:dyDescent="0.3">
      <c r="A12" s="6" t="s">
        <v>6</v>
      </c>
      <c r="B12" s="7" t="s">
        <v>7</v>
      </c>
      <c r="C12" s="11" t="s">
        <v>30</v>
      </c>
      <c r="D12" s="8" t="s">
        <v>31</v>
      </c>
      <c r="E12" s="6" t="s">
        <v>10</v>
      </c>
      <c r="F12" s="10" t="s">
        <v>11</v>
      </c>
      <c r="G12" s="9"/>
      <c r="H12" s="9"/>
      <c r="I12" s="9"/>
      <c r="J12" s="9"/>
      <c r="K12" s="9"/>
      <c r="L12" s="20"/>
      <c r="M12" s="19">
        <v>2.4065303653224E-3</v>
      </c>
      <c r="N12" s="19">
        <v>2.51173615536485E-3</v>
      </c>
      <c r="O12" s="19">
        <v>2.5523933149440002E-3</v>
      </c>
      <c r="P12" s="19">
        <f>P10/P8</f>
        <v>2.4138003892624112E-3</v>
      </c>
      <c r="Q12" s="9"/>
      <c r="R12" s="9"/>
      <c r="S12" s="9"/>
      <c r="T12" s="9"/>
      <c r="U12" s="9"/>
      <c r="V12" s="9"/>
    </row>
    <row r="13" spans="1:22" ht="14.25" customHeight="1" x14ac:dyDescent="0.3">
      <c r="A13" s="21" t="s">
        <v>6</v>
      </c>
      <c r="B13" s="22" t="s">
        <v>7</v>
      </c>
      <c r="C13" s="23" t="s">
        <v>32</v>
      </c>
      <c r="D13" s="24" t="s">
        <v>33</v>
      </c>
      <c r="E13" s="6" t="s">
        <v>10</v>
      </c>
      <c r="F13" s="27" t="s">
        <v>11</v>
      </c>
      <c r="G13" s="25">
        <v>302</v>
      </c>
      <c r="H13" s="25">
        <v>302</v>
      </c>
      <c r="I13" s="25">
        <v>302</v>
      </c>
      <c r="J13" s="25">
        <v>302</v>
      </c>
      <c r="K13" s="25">
        <v>302</v>
      </c>
      <c r="L13" s="26">
        <v>312</v>
      </c>
      <c r="M13" s="25">
        <v>314</v>
      </c>
      <c r="N13" s="25">
        <v>314</v>
      </c>
      <c r="O13" s="25">
        <v>348</v>
      </c>
      <c r="P13" s="25">
        <v>349</v>
      </c>
      <c r="Q13" s="25"/>
      <c r="R13" s="25"/>
      <c r="S13" s="25"/>
      <c r="T13" s="25"/>
      <c r="U13" s="25"/>
      <c r="V13" s="25"/>
    </row>
    <row r="14" spans="1:22" ht="14.25" customHeight="1" x14ac:dyDescent="0.3">
      <c r="A14" s="6" t="s">
        <v>6</v>
      </c>
      <c r="B14" s="7" t="s">
        <v>7</v>
      </c>
      <c r="C14" s="11" t="s">
        <v>34</v>
      </c>
      <c r="D14" s="8" t="s">
        <v>35</v>
      </c>
      <c r="E14" s="28">
        <v>1</v>
      </c>
      <c r="F14" s="10" t="s">
        <v>11</v>
      </c>
      <c r="G14" s="29">
        <v>1</v>
      </c>
      <c r="H14" s="29">
        <v>1</v>
      </c>
      <c r="I14" s="29">
        <v>1</v>
      </c>
      <c r="J14" s="29">
        <v>1</v>
      </c>
      <c r="K14" s="29">
        <v>1</v>
      </c>
      <c r="L14" s="30">
        <v>1</v>
      </c>
      <c r="M14" s="30">
        <v>1</v>
      </c>
      <c r="N14" s="29">
        <v>1</v>
      </c>
      <c r="O14" s="28">
        <v>1</v>
      </c>
      <c r="P14" s="28">
        <v>1</v>
      </c>
      <c r="Q14" s="29"/>
      <c r="R14" s="29"/>
      <c r="S14" s="29"/>
      <c r="T14" s="29"/>
      <c r="U14" s="29"/>
      <c r="V14" s="29"/>
    </row>
    <row r="15" spans="1:22" x14ac:dyDescent="0.3">
      <c r="A15" s="6" t="s">
        <v>6</v>
      </c>
      <c r="B15" s="7" t="s">
        <v>7</v>
      </c>
      <c r="C15" s="11" t="s">
        <v>36</v>
      </c>
      <c r="D15" s="8" t="s">
        <v>37</v>
      </c>
      <c r="E15" s="6" t="s">
        <v>10</v>
      </c>
      <c r="F15" s="10" t="s">
        <v>11</v>
      </c>
      <c r="G15" s="31">
        <v>127.503304</v>
      </c>
      <c r="H15" s="31">
        <v>127.503304</v>
      </c>
      <c r="I15" s="31">
        <v>127.503304</v>
      </c>
      <c r="J15" s="31">
        <v>127.503304</v>
      </c>
      <c r="K15" s="31">
        <v>127.503304</v>
      </c>
      <c r="L15" s="32">
        <v>140.651511</v>
      </c>
      <c r="M15" s="31">
        <v>385.05486500000001</v>
      </c>
      <c r="N15" s="31">
        <v>768.88226499999996</v>
      </c>
      <c r="O15" s="32">
        <v>856.96011299999998</v>
      </c>
      <c r="P15" s="31">
        <v>942.51187000000004</v>
      </c>
      <c r="Q15" s="31"/>
      <c r="R15" s="31"/>
      <c r="S15" s="31"/>
      <c r="T15" s="31"/>
      <c r="U15" s="31"/>
      <c r="V15" s="31"/>
    </row>
    <row r="16" spans="1:22" x14ac:dyDescent="0.3">
      <c r="A16" s="6" t="s">
        <v>6</v>
      </c>
      <c r="B16" s="7" t="s">
        <v>7</v>
      </c>
      <c r="C16" s="11" t="s">
        <v>38</v>
      </c>
      <c r="D16" s="8" t="s">
        <v>39</v>
      </c>
      <c r="E16" s="6" t="s">
        <v>40</v>
      </c>
      <c r="F16" s="10" t="s">
        <v>11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x14ac:dyDescent="0.3">
      <c r="A17" s="6" t="s">
        <v>6</v>
      </c>
      <c r="B17" s="7" t="s">
        <v>7</v>
      </c>
      <c r="C17" s="11" t="s">
        <v>41</v>
      </c>
      <c r="D17" s="8" t="s">
        <v>42</v>
      </c>
      <c r="E17" s="6" t="s">
        <v>10</v>
      </c>
      <c r="F17" s="10" t="s">
        <v>23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x14ac:dyDescent="0.3">
      <c r="A18" s="6" t="s">
        <v>6</v>
      </c>
      <c r="B18" s="7" t="s">
        <v>7</v>
      </c>
      <c r="C18" s="11" t="s">
        <v>43</v>
      </c>
      <c r="D18" s="8" t="s">
        <v>44</v>
      </c>
      <c r="E18" s="6" t="s">
        <v>10</v>
      </c>
      <c r="F18" s="10" t="s">
        <v>23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 x14ac:dyDescent="0.3">
      <c r="A19" s="6" t="s">
        <v>6</v>
      </c>
      <c r="B19" s="7" t="s">
        <v>7</v>
      </c>
      <c r="C19" s="11" t="s">
        <v>45</v>
      </c>
      <c r="D19" s="11" t="s">
        <v>46</v>
      </c>
      <c r="E19" s="6" t="s">
        <v>10</v>
      </c>
      <c r="F19" s="10" t="s">
        <v>23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x14ac:dyDescent="0.3">
      <c r="A20" s="6" t="s">
        <v>6</v>
      </c>
      <c r="B20" s="7" t="s">
        <v>7</v>
      </c>
      <c r="C20" s="11" t="s">
        <v>47</v>
      </c>
      <c r="D20" s="11" t="s">
        <v>48</v>
      </c>
      <c r="E20" s="6" t="s">
        <v>49</v>
      </c>
      <c r="F20" s="10" t="s">
        <v>23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 x14ac:dyDescent="0.3">
      <c r="A21" s="6" t="s">
        <v>6</v>
      </c>
      <c r="B21" s="6" t="s">
        <v>50</v>
      </c>
      <c r="C21" s="11" t="s">
        <v>51</v>
      </c>
      <c r="D21" s="8" t="s">
        <v>52</v>
      </c>
      <c r="E21" s="6" t="s">
        <v>10</v>
      </c>
      <c r="F21" s="10" t="s">
        <v>53</v>
      </c>
      <c r="G21" s="19"/>
      <c r="H21" s="19"/>
      <c r="I21" s="19"/>
      <c r="J21" s="19"/>
      <c r="K21" s="19"/>
      <c r="L21" s="33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ht="13.9" customHeight="1" x14ac:dyDescent="0.4">
      <c r="A22" s="6" t="s">
        <v>12</v>
      </c>
      <c r="B22" s="6" t="s">
        <v>50</v>
      </c>
      <c r="C22" s="11" t="s">
        <v>54</v>
      </c>
      <c r="D22" s="8" t="s">
        <v>55</v>
      </c>
      <c r="E22" s="6" t="s">
        <v>10</v>
      </c>
      <c r="F22" s="10" t="s">
        <v>56</v>
      </c>
      <c r="G22" s="9">
        <v>2282</v>
      </c>
      <c r="H22" s="9">
        <v>2282</v>
      </c>
      <c r="I22" s="9">
        <v>2282</v>
      </c>
      <c r="J22" s="9">
        <v>2282</v>
      </c>
      <c r="K22" s="9">
        <v>2282</v>
      </c>
      <c r="L22" s="34">
        <v>1321</v>
      </c>
      <c r="M22" s="9">
        <v>1879</v>
      </c>
      <c r="N22" s="9">
        <v>1714</v>
      </c>
      <c r="O22" s="9">
        <v>1442</v>
      </c>
      <c r="P22" s="9">
        <v>1410</v>
      </c>
      <c r="Q22" s="9"/>
      <c r="R22" s="9"/>
      <c r="S22" s="9"/>
      <c r="T22" s="9"/>
      <c r="U22" s="9"/>
      <c r="V22" s="9"/>
    </row>
    <row r="23" spans="1:22" ht="13.9" customHeight="1" x14ac:dyDescent="0.4">
      <c r="A23" s="6" t="s">
        <v>12</v>
      </c>
      <c r="B23" s="6" t="s">
        <v>50</v>
      </c>
      <c r="C23" s="11" t="s">
        <v>57</v>
      </c>
      <c r="D23" s="8" t="s">
        <v>58</v>
      </c>
      <c r="E23" s="6" t="s">
        <v>10</v>
      </c>
      <c r="F23" s="10" t="s">
        <v>59</v>
      </c>
      <c r="G23" s="9"/>
      <c r="H23" s="9"/>
      <c r="I23" s="9"/>
      <c r="J23" s="9"/>
      <c r="K23" s="9"/>
      <c r="L23" s="34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ht="13.9" customHeight="1" x14ac:dyDescent="0.4">
      <c r="A24" s="6" t="s">
        <v>12</v>
      </c>
      <c r="B24" s="6" t="s">
        <v>50</v>
      </c>
      <c r="C24" s="11" t="s">
        <v>60</v>
      </c>
      <c r="D24" s="8" t="s">
        <v>61</v>
      </c>
      <c r="E24" s="6" t="s">
        <v>62</v>
      </c>
      <c r="F24" s="10" t="s">
        <v>56</v>
      </c>
      <c r="G24" s="29">
        <v>1</v>
      </c>
      <c r="H24" s="29">
        <v>1</v>
      </c>
      <c r="I24" s="29">
        <v>1</v>
      </c>
      <c r="J24" s="29">
        <v>1</v>
      </c>
      <c r="K24" s="29">
        <v>1</v>
      </c>
      <c r="L24" s="35">
        <v>1</v>
      </c>
      <c r="M24" s="29">
        <v>1</v>
      </c>
      <c r="N24" s="29">
        <v>1</v>
      </c>
      <c r="O24" s="29">
        <v>1</v>
      </c>
      <c r="P24" s="29">
        <v>1</v>
      </c>
      <c r="Q24" s="29"/>
      <c r="R24" s="29"/>
      <c r="S24" s="29"/>
      <c r="T24" s="29"/>
      <c r="U24" s="29"/>
      <c r="V24" s="29"/>
    </row>
    <row r="25" spans="1:22" ht="13.9" customHeight="1" x14ac:dyDescent="0.4">
      <c r="A25" s="6" t="s">
        <v>12</v>
      </c>
      <c r="B25" s="6" t="s">
        <v>50</v>
      </c>
      <c r="C25" s="11" t="s">
        <v>63</v>
      </c>
      <c r="D25" s="8" t="s">
        <v>64</v>
      </c>
      <c r="E25" s="6" t="s">
        <v>10</v>
      </c>
      <c r="F25" s="10" t="s">
        <v>56</v>
      </c>
      <c r="G25" s="9">
        <v>1639</v>
      </c>
      <c r="H25" s="9">
        <v>1639</v>
      </c>
      <c r="I25" s="9">
        <v>1639</v>
      </c>
      <c r="J25" s="9">
        <v>1639</v>
      </c>
      <c r="K25" s="9">
        <v>1639</v>
      </c>
      <c r="L25" s="34">
        <v>1477</v>
      </c>
      <c r="M25" s="9">
        <v>2129</v>
      </c>
      <c r="N25" s="9">
        <v>1453</v>
      </c>
      <c r="O25" s="9">
        <v>3495</v>
      </c>
      <c r="P25" s="9">
        <v>3880</v>
      </c>
      <c r="Q25" s="9"/>
      <c r="R25" s="9"/>
      <c r="S25" s="9"/>
      <c r="T25" s="9"/>
      <c r="U25" s="9"/>
      <c r="V25" s="9"/>
    </row>
    <row r="26" spans="1:22" ht="14.65" customHeight="1" x14ac:dyDescent="0.4">
      <c r="A26" s="6" t="s">
        <v>12</v>
      </c>
      <c r="B26" s="6" t="s">
        <v>50</v>
      </c>
      <c r="C26" s="11" t="s">
        <v>65</v>
      </c>
      <c r="D26" s="8" t="s">
        <v>66</v>
      </c>
      <c r="E26" s="6" t="s">
        <v>67</v>
      </c>
      <c r="F26" s="10" t="s">
        <v>56</v>
      </c>
      <c r="G26" s="29">
        <v>1</v>
      </c>
      <c r="H26" s="29">
        <v>1</v>
      </c>
      <c r="I26" s="29">
        <v>1</v>
      </c>
      <c r="J26" s="29">
        <v>1</v>
      </c>
      <c r="K26" s="29">
        <v>1</v>
      </c>
      <c r="L26" s="36">
        <v>1</v>
      </c>
      <c r="M26" s="29">
        <v>1</v>
      </c>
      <c r="N26" s="29">
        <v>1</v>
      </c>
      <c r="O26" s="29">
        <v>1</v>
      </c>
      <c r="P26" s="29">
        <v>1</v>
      </c>
      <c r="Q26" s="29"/>
      <c r="R26" s="29"/>
      <c r="S26" s="29"/>
      <c r="T26" s="29"/>
      <c r="U26" s="29"/>
      <c r="V26" s="29"/>
    </row>
    <row r="27" spans="1:22" ht="13.9" customHeight="1" x14ac:dyDescent="0.4">
      <c r="A27" s="6" t="s">
        <v>12</v>
      </c>
      <c r="B27" s="6" t="s">
        <v>50</v>
      </c>
      <c r="C27" s="11" t="s">
        <v>68</v>
      </c>
      <c r="D27" s="8" t="s">
        <v>69</v>
      </c>
      <c r="E27" s="37" t="s">
        <v>67</v>
      </c>
      <c r="F27" s="10" t="s">
        <v>56</v>
      </c>
      <c r="G27" s="29">
        <v>1</v>
      </c>
      <c r="H27" s="29">
        <v>1</v>
      </c>
      <c r="I27" s="29">
        <v>1</v>
      </c>
      <c r="J27" s="29">
        <v>1</v>
      </c>
      <c r="K27" s="29">
        <v>1</v>
      </c>
      <c r="L27" s="36">
        <v>1</v>
      </c>
      <c r="M27" s="29">
        <v>1</v>
      </c>
      <c r="N27" s="29">
        <v>1</v>
      </c>
      <c r="O27" s="29">
        <v>1</v>
      </c>
      <c r="P27" s="29">
        <v>1</v>
      </c>
      <c r="Q27" s="29"/>
      <c r="R27" s="29"/>
      <c r="S27" s="29"/>
      <c r="T27" s="29"/>
      <c r="U27" s="29"/>
      <c r="V27" s="29"/>
    </row>
    <row r="28" spans="1:22" ht="13.5" customHeight="1" x14ac:dyDescent="0.4">
      <c r="A28" s="6" t="s">
        <v>12</v>
      </c>
      <c r="B28" s="6" t="s">
        <v>50</v>
      </c>
      <c r="C28" s="11" t="s">
        <v>70</v>
      </c>
      <c r="D28" s="8" t="s">
        <v>71</v>
      </c>
      <c r="E28" s="6" t="s">
        <v>72</v>
      </c>
      <c r="F28" s="10" t="s">
        <v>56</v>
      </c>
      <c r="G28" s="9">
        <v>5871</v>
      </c>
      <c r="H28" s="9">
        <v>5871</v>
      </c>
      <c r="I28" s="9">
        <v>5871</v>
      </c>
      <c r="J28" s="9">
        <v>5871</v>
      </c>
      <c r="K28" s="9">
        <v>5871</v>
      </c>
      <c r="L28" s="38">
        <v>5501</v>
      </c>
      <c r="M28" s="9">
        <v>5005</v>
      </c>
      <c r="N28" s="9">
        <v>5341</v>
      </c>
      <c r="O28" s="9">
        <v>5949</v>
      </c>
      <c r="P28" s="9">
        <v>5843</v>
      </c>
      <c r="Q28" s="9"/>
      <c r="R28" s="9"/>
      <c r="S28" s="9"/>
      <c r="T28" s="9"/>
      <c r="U28" s="9"/>
      <c r="V28" s="9"/>
    </row>
    <row r="29" spans="1:22" ht="13.9" customHeight="1" x14ac:dyDescent="0.4">
      <c r="A29" s="6" t="s">
        <v>12</v>
      </c>
      <c r="B29" s="6" t="s">
        <v>50</v>
      </c>
      <c r="C29" s="11" t="s">
        <v>73</v>
      </c>
      <c r="D29" s="8" t="s">
        <v>74</v>
      </c>
      <c r="E29" s="6" t="s">
        <v>72</v>
      </c>
      <c r="F29" s="10" t="s">
        <v>56</v>
      </c>
      <c r="G29" s="9">
        <v>5871</v>
      </c>
      <c r="H29" s="9">
        <v>5871</v>
      </c>
      <c r="I29" s="9">
        <v>5871</v>
      </c>
      <c r="J29" s="9">
        <v>5871</v>
      </c>
      <c r="K29" s="9">
        <v>5871</v>
      </c>
      <c r="L29" s="38">
        <v>5501</v>
      </c>
      <c r="M29" s="9">
        <v>5005</v>
      </c>
      <c r="N29" s="9">
        <v>5341</v>
      </c>
      <c r="O29" s="9">
        <v>5949</v>
      </c>
      <c r="P29" s="9">
        <v>5843</v>
      </c>
      <c r="Q29" s="9"/>
      <c r="R29" s="9"/>
      <c r="S29" s="9"/>
      <c r="T29" s="9"/>
      <c r="U29" s="9"/>
      <c r="V29" s="9"/>
    </row>
    <row r="30" spans="1:22" ht="13.9" customHeight="1" x14ac:dyDescent="0.4">
      <c r="A30" s="6" t="s">
        <v>12</v>
      </c>
      <c r="B30" s="6" t="s">
        <v>50</v>
      </c>
      <c r="C30" s="11" t="s">
        <v>75</v>
      </c>
      <c r="D30" s="8" t="s">
        <v>76</v>
      </c>
      <c r="E30" s="28">
        <v>1</v>
      </c>
      <c r="F30" s="10" t="s">
        <v>56</v>
      </c>
      <c r="G30" s="29">
        <v>1</v>
      </c>
      <c r="H30" s="29">
        <v>1</v>
      </c>
      <c r="I30" s="29">
        <v>1</v>
      </c>
      <c r="J30" s="29">
        <v>1</v>
      </c>
      <c r="K30" s="29">
        <v>1</v>
      </c>
      <c r="L30" s="36">
        <v>1</v>
      </c>
      <c r="M30" s="29">
        <v>1</v>
      </c>
      <c r="N30" s="29">
        <v>1</v>
      </c>
      <c r="O30" s="29">
        <v>1</v>
      </c>
      <c r="P30" s="29">
        <v>1</v>
      </c>
      <c r="Q30" s="29"/>
      <c r="R30" s="29"/>
      <c r="S30" s="29"/>
      <c r="T30" s="29"/>
      <c r="U30" s="29"/>
      <c r="V30" s="29"/>
    </row>
    <row r="31" spans="1:22" x14ac:dyDescent="0.3">
      <c r="A31" s="6" t="s">
        <v>12</v>
      </c>
      <c r="B31" s="6" t="s">
        <v>50</v>
      </c>
      <c r="C31" s="11" t="s">
        <v>77</v>
      </c>
      <c r="D31" s="8" t="s">
        <v>71</v>
      </c>
      <c r="E31" s="6" t="s">
        <v>72</v>
      </c>
      <c r="F31" s="10" t="s">
        <v>53</v>
      </c>
      <c r="G31" s="9">
        <v>16137</v>
      </c>
      <c r="H31" s="9">
        <v>16137</v>
      </c>
      <c r="I31" s="9">
        <v>16137</v>
      </c>
      <c r="J31" s="9">
        <v>16137</v>
      </c>
      <c r="K31" s="9">
        <v>16137</v>
      </c>
      <c r="L31" s="20">
        <v>16164</v>
      </c>
      <c r="M31" s="9">
        <v>16305</v>
      </c>
      <c r="N31" s="9">
        <v>16412</v>
      </c>
      <c r="O31" s="9">
        <v>16505</v>
      </c>
      <c r="P31" s="9">
        <v>17037</v>
      </c>
      <c r="Q31" s="9"/>
      <c r="R31" s="9"/>
      <c r="S31" s="9"/>
      <c r="T31" s="9"/>
      <c r="U31" s="9"/>
      <c r="V31" s="9"/>
    </row>
    <row r="32" spans="1:22" ht="12" customHeight="1" x14ac:dyDescent="0.3">
      <c r="A32" s="7" t="s">
        <v>12</v>
      </c>
      <c r="B32" s="6" t="s">
        <v>50</v>
      </c>
      <c r="C32" s="11" t="s">
        <v>78</v>
      </c>
      <c r="D32" s="8" t="s">
        <v>74</v>
      </c>
      <c r="E32" s="6" t="s">
        <v>72</v>
      </c>
      <c r="F32" s="10" t="s">
        <v>53</v>
      </c>
      <c r="G32" s="9">
        <v>16137</v>
      </c>
      <c r="H32" s="9">
        <v>16137</v>
      </c>
      <c r="I32" s="9">
        <v>16137</v>
      </c>
      <c r="J32" s="9">
        <v>16137</v>
      </c>
      <c r="K32" s="9">
        <v>16137</v>
      </c>
      <c r="L32" s="20">
        <v>16164</v>
      </c>
      <c r="M32" s="9">
        <v>16305</v>
      </c>
      <c r="N32" s="9">
        <v>16412</v>
      </c>
      <c r="O32" s="9">
        <v>16505</v>
      </c>
      <c r="P32" s="9">
        <v>17037</v>
      </c>
      <c r="Q32" s="9"/>
      <c r="R32" s="9"/>
      <c r="S32" s="9"/>
      <c r="T32" s="9"/>
      <c r="U32" s="9"/>
      <c r="V32" s="9"/>
    </row>
    <row r="33" spans="1:22" s="40" customFormat="1" ht="12" customHeight="1" x14ac:dyDescent="0.3">
      <c r="A33" s="7" t="s">
        <v>12</v>
      </c>
      <c r="B33" s="6" t="s">
        <v>50</v>
      </c>
      <c r="C33" s="11" t="s">
        <v>79</v>
      </c>
      <c r="D33" s="8" t="s">
        <v>76</v>
      </c>
      <c r="E33" s="28">
        <v>1</v>
      </c>
      <c r="F33" s="10" t="s">
        <v>53</v>
      </c>
      <c r="G33" s="19">
        <v>1</v>
      </c>
      <c r="H33" s="19">
        <v>1</v>
      </c>
      <c r="I33" s="19">
        <v>1</v>
      </c>
      <c r="J33" s="19">
        <v>1</v>
      </c>
      <c r="K33" s="19">
        <v>1</v>
      </c>
      <c r="L33" s="39">
        <v>1</v>
      </c>
      <c r="M33" s="19">
        <v>1</v>
      </c>
      <c r="N33" s="19">
        <v>1</v>
      </c>
      <c r="O33" s="19">
        <v>1</v>
      </c>
      <c r="P33" s="19">
        <v>1</v>
      </c>
      <c r="Q33" s="19"/>
      <c r="R33" s="19"/>
      <c r="S33" s="19"/>
      <c r="T33" s="19"/>
      <c r="U33" s="19"/>
      <c r="V33" s="19"/>
    </row>
    <row r="34" spans="1:22" ht="12" customHeight="1" x14ac:dyDescent="0.3">
      <c r="A34" s="7" t="s">
        <v>12</v>
      </c>
      <c r="B34" s="6" t="s">
        <v>50</v>
      </c>
      <c r="C34" s="11" t="s">
        <v>80</v>
      </c>
      <c r="D34" s="8" t="s">
        <v>81</v>
      </c>
      <c r="E34" s="41" t="s">
        <v>82</v>
      </c>
      <c r="F34" s="10" t="s">
        <v>53</v>
      </c>
      <c r="G34" s="19">
        <v>0.78</v>
      </c>
      <c r="H34" s="19">
        <v>0.78</v>
      </c>
      <c r="I34" s="19">
        <v>0.78</v>
      </c>
      <c r="J34" s="19">
        <v>0.78</v>
      </c>
      <c r="K34" s="19">
        <v>0.78</v>
      </c>
      <c r="L34" s="33">
        <v>0.63749999999999996</v>
      </c>
      <c r="M34" s="19">
        <v>0.58479999999999999</v>
      </c>
      <c r="N34" s="19">
        <v>0.7157</v>
      </c>
      <c r="O34" s="19">
        <v>0.59160000000000001</v>
      </c>
      <c r="P34" s="19">
        <v>0.63519999999999999</v>
      </c>
      <c r="Q34" s="19"/>
      <c r="R34" s="19"/>
      <c r="S34" s="19"/>
      <c r="T34" s="19"/>
      <c r="U34" s="19"/>
      <c r="V34" s="19"/>
    </row>
    <row r="35" spans="1:22" ht="12" customHeight="1" x14ac:dyDescent="0.3">
      <c r="A35" s="7" t="s">
        <v>12</v>
      </c>
      <c r="B35" s="6" t="s">
        <v>50</v>
      </c>
      <c r="C35" s="11" t="s">
        <v>83</v>
      </c>
      <c r="D35" s="11" t="s">
        <v>83</v>
      </c>
      <c r="E35" s="6" t="s">
        <v>10</v>
      </c>
      <c r="F35" s="10" t="s">
        <v>84</v>
      </c>
      <c r="G35" s="19"/>
      <c r="H35" s="19"/>
      <c r="I35" s="19"/>
      <c r="J35" s="19"/>
      <c r="K35" s="19"/>
      <c r="L35" s="33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spans="1:22" ht="14.5" customHeight="1" x14ac:dyDescent="0.3">
      <c r="A36" s="6" t="s">
        <v>12</v>
      </c>
      <c r="B36" s="7" t="s">
        <v>85</v>
      </c>
      <c r="C36" s="11" t="s">
        <v>86</v>
      </c>
      <c r="D36" s="8" t="s">
        <v>87</v>
      </c>
      <c r="E36" s="6" t="s">
        <v>10</v>
      </c>
      <c r="F36" s="10" t="s">
        <v>88</v>
      </c>
      <c r="G36" s="9">
        <v>817</v>
      </c>
      <c r="H36" s="9">
        <v>817</v>
      </c>
      <c r="I36" s="9">
        <v>817</v>
      </c>
      <c r="J36" s="9">
        <v>817</v>
      </c>
      <c r="K36" s="9">
        <v>817</v>
      </c>
      <c r="L36" s="20">
        <v>663</v>
      </c>
      <c r="M36" s="9">
        <v>938</v>
      </c>
      <c r="N36" s="9">
        <v>733</v>
      </c>
      <c r="O36" s="9">
        <v>631</v>
      </c>
      <c r="P36" s="9">
        <v>864</v>
      </c>
      <c r="Q36" s="9"/>
      <c r="R36" s="9"/>
      <c r="S36" s="9"/>
      <c r="T36" s="9"/>
      <c r="U36" s="9"/>
      <c r="V36" s="9"/>
    </row>
    <row r="37" spans="1:22" x14ac:dyDescent="0.3">
      <c r="A37" s="7" t="s">
        <v>12</v>
      </c>
      <c r="B37" s="6" t="s">
        <v>85</v>
      </c>
      <c r="C37" s="11" t="s">
        <v>89</v>
      </c>
      <c r="D37" s="8" t="s">
        <v>90</v>
      </c>
      <c r="E37" s="6" t="s">
        <v>10</v>
      </c>
      <c r="F37" s="10" t="s">
        <v>88</v>
      </c>
      <c r="G37" s="19">
        <v>0.50670000000000004</v>
      </c>
      <c r="H37" s="19">
        <v>0.50670000000000004</v>
      </c>
      <c r="I37" s="19">
        <v>0.50670000000000004</v>
      </c>
      <c r="J37" s="19">
        <v>0.50670000000000004</v>
      </c>
      <c r="K37" s="19">
        <v>0.50670000000000004</v>
      </c>
      <c r="L37" s="42">
        <v>0.39660000000000001</v>
      </c>
      <c r="M37" s="19">
        <v>0.39439999999999997</v>
      </c>
      <c r="N37" s="19">
        <v>0.40500000000000003</v>
      </c>
      <c r="O37" s="19">
        <v>0.27099841521394602</v>
      </c>
      <c r="P37" s="19">
        <v>0.40046296296296302</v>
      </c>
      <c r="Q37" s="19"/>
      <c r="R37" s="19"/>
      <c r="S37" s="19"/>
      <c r="T37" s="19"/>
      <c r="U37" s="19"/>
      <c r="V37" s="19"/>
    </row>
    <row r="38" spans="1:22" x14ac:dyDescent="0.3">
      <c r="A38" s="7" t="s">
        <v>12</v>
      </c>
      <c r="B38" s="6" t="s">
        <v>85</v>
      </c>
      <c r="C38" s="11" t="s">
        <v>91</v>
      </c>
      <c r="D38" s="8" t="s">
        <v>92</v>
      </c>
      <c r="E38" s="6" t="s">
        <v>10</v>
      </c>
      <c r="F38" s="10" t="s">
        <v>88</v>
      </c>
      <c r="G38" s="9">
        <v>240</v>
      </c>
      <c r="H38" s="9">
        <v>240</v>
      </c>
      <c r="I38" s="9">
        <v>240</v>
      </c>
      <c r="J38" s="9">
        <v>240</v>
      </c>
      <c r="K38" s="9">
        <v>240</v>
      </c>
      <c r="L38" s="20">
        <v>152</v>
      </c>
      <c r="M38" s="9">
        <v>303</v>
      </c>
      <c r="N38" s="9">
        <v>147</v>
      </c>
      <c r="O38" s="9">
        <v>188</v>
      </c>
      <c r="P38" s="9">
        <v>160</v>
      </c>
      <c r="Q38" s="9"/>
      <c r="R38" s="9"/>
      <c r="S38" s="9"/>
      <c r="T38" s="9"/>
      <c r="U38" s="9"/>
      <c r="V38" s="9"/>
    </row>
    <row r="39" spans="1:22" x14ac:dyDescent="0.3">
      <c r="A39" s="7" t="s">
        <v>12</v>
      </c>
      <c r="B39" s="6" t="s">
        <v>85</v>
      </c>
      <c r="C39" s="11" t="s">
        <v>93</v>
      </c>
      <c r="D39" s="8" t="s">
        <v>94</v>
      </c>
      <c r="E39" s="6" t="s">
        <v>10</v>
      </c>
      <c r="F39" s="10" t="s">
        <v>88</v>
      </c>
      <c r="G39" s="19">
        <v>0.99729999999999996</v>
      </c>
      <c r="H39" s="19">
        <v>0.99729999999999996</v>
      </c>
      <c r="I39" s="19">
        <v>0.99729999999999996</v>
      </c>
      <c r="J39" s="19">
        <v>0.99729999999999996</v>
      </c>
      <c r="K39" s="19">
        <v>0.99729999999999996</v>
      </c>
      <c r="L39" s="42">
        <v>0.99750000000000005</v>
      </c>
      <c r="M39" s="19">
        <v>0.99750000000000005</v>
      </c>
      <c r="N39" s="19">
        <v>0.99439999999999995</v>
      </c>
      <c r="O39" s="19">
        <v>1</v>
      </c>
      <c r="P39" s="19">
        <v>0.94</v>
      </c>
      <c r="Q39" s="19"/>
      <c r="R39" s="19"/>
      <c r="S39" s="19"/>
      <c r="T39" s="19"/>
      <c r="U39" s="19"/>
      <c r="V39" s="19"/>
    </row>
    <row r="40" spans="1:22" ht="13.5" customHeight="1" x14ac:dyDescent="0.3">
      <c r="A40" s="7" t="s">
        <v>12</v>
      </c>
      <c r="B40" s="6" t="s">
        <v>85</v>
      </c>
      <c r="C40" s="11" t="s">
        <v>95</v>
      </c>
      <c r="D40" s="8" t="s">
        <v>96</v>
      </c>
      <c r="E40" s="6" t="s">
        <v>10</v>
      </c>
      <c r="F40" s="10" t="s">
        <v>88</v>
      </c>
      <c r="G40" s="9">
        <v>42</v>
      </c>
      <c r="H40" s="9">
        <v>42</v>
      </c>
      <c r="I40" s="9">
        <v>42</v>
      </c>
      <c r="J40" s="9">
        <v>42</v>
      </c>
      <c r="K40" s="9">
        <v>42</v>
      </c>
      <c r="L40" s="20">
        <v>4</v>
      </c>
      <c r="M40" s="9">
        <v>16</v>
      </c>
      <c r="N40" s="9">
        <v>55</v>
      </c>
      <c r="O40" s="9">
        <v>72</v>
      </c>
      <c r="P40" s="9">
        <v>54</v>
      </c>
      <c r="Q40" s="9"/>
      <c r="R40" s="9"/>
      <c r="S40" s="9"/>
      <c r="T40" s="9"/>
      <c r="U40" s="9"/>
      <c r="V40" s="9"/>
    </row>
    <row r="41" spans="1:22" ht="13.5" customHeight="1" x14ac:dyDescent="0.3">
      <c r="A41" s="6" t="s">
        <v>12</v>
      </c>
      <c r="B41" s="6" t="s">
        <v>85</v>
      </c>
      <c r="C41" s="11" t="s">
        <v>97</v>
      </c>
      <c r="D41" s="8" t="s">
        <v>98</v>
      </c>
      <c r="E41" s="6" t="s">
        <v>10</v>
      </c>
      <c r="F41" s="10" t="s">
        <v>88</v>
      </c>
      <c r="G41" s="9">
        <v>1099</v>
      </c>
      <c r="H41" s="9">
        <v>1099</v>
      </c>
      <c r="I41" s="9">
        <v>1099</v>
      </c>
      <c r="J41" s="9">
        <v>1099</v>
      </c>
      <c r="K41" s="9">
        <v>1099</v>
      </c>
      <c r="L41" s="20">
        <v>819</v>
      </c>
      <c r="M41" s="9">
        <v>1257</v>
      </c>
      <c r="N41" s="9">
        <v>935</v>
      </c>
      <c r="O41" s="9">
        <v>891</v>
      </c>
      <c r="P41" s="9">
        <v>1078</v>
      </c>
      <c r="Q41" s="9"/>
      <c r="R41" s="9"/>
      <c r="S41" s="9"/>
      <c r="T41" s="9"/>
      <c r="U41" s="9"/>
      <c r="V41" s="9"/>
    </row>
    <row r="42" spans="1:22" ht="13.5" customHeight="1" x14ac:dyDescent="0.3">
      <c r="A42" s="6" t="s">
        <v>12</v>
      </c>
      <c r="B42" s="6" t="s">
        <v>85</v>
      </c>
      <c r="C42" s="11" t="s">
        <v>99</v>
      </c>
      <c r="D42" s="8" t="s">
        <v>100</v>
      </c>
      <c r="E42" s="6" t="s">
        <v>101</v>
      </c>
      <c r="F42" s="10" t="s">
        <v>88</v>
      </c>
      <c r="G42" s="19">
        <v>0.99109999999999998</v>
      </c>
      <c r="H42" s="19">
        <v>0.99109999999999998</v>
      </c>
      <c r="I42" s="19">
        <v>0.99109999999999998</v>
      </c>
      <c r="J42" s="19">
        <v>0.99109999999999998</v>
      </c>
      <c r="K42" s="19">
        <v>0.99109999999999998</v>
      </c>
      <c r="L42" s="42">
        <v>0.99229999999999996</v>
      </c>
      <c r="M42" s="19">
        <v>0.99229999999999996</v>
      </c>
      <c r="N42" s="19">
        <v>0.99129999999999996</v>
      </c>
      <c r="O42" s="19">
        <v>0.98009999999999997</v>
      </c>
      <c r="P42" s="19">
        <v>0.99909999999999999</v>
      </c>
      <c r="Q42" s="19"/>
      <c r="R42" s="19"/>
      <c r="S42" s="19"/>
      <c r="T42" s="19"/>
      <c r="U42" s="19"/>
      <c r="V42" s="19"/>
    </row>
    <row r="43" spans="1:22" x14ac:dyDescent="0.3">
      <c r="A43" s="6" t="s">
        <v>12</v>
      </c>
      <c r="B43" s="6" t="s">
        <v>85</v>
      </c>
      <c r="C43" s="11" t="s">
        <v>102</v>
      </c>
      <c r="D43" s="8" t="s">
        <v>103</v>
      </c>
      <c r="E43" s="28" t="s">
        <v>101</v>
      </c>
      <c r="F43" s="10" t="s">
        <v>88</v>
      </c>
      <c r="G43" s="19">
        <v>0.98780000000000001</v>
      </c>
      <c r="H43" s="19">
        <v>0.98780000000000001</v>
      </c>
      <c r="I43" s="19">
        <v>0.98780000000000001</v>
      </c>
      <c r="J43" s="19">
        <v>0.98780000000000001</v>
      </c>
      <c r="K43" s="19">
        <v>0.98780000000000001</v>
      </c>
      <c r="L43" s="42">
        <v>0.98760000000000003</v>
      </c>
      <c r="M43" s="19">
        <v>0.98760000000000003</v>
      </c>
      <c r="N43" s="19">
        <v>0.98460000000000003</v>
      </c>
      <c r="O43" s="19">
        <v>1</v>
      </c>
      <c r="P43" s="19">
        <v>1</v>
      </c>
      <c r="Q43" s="19"/>
      <c r="R43" s="19"/>
      <c r="S43" s="19"/>
      <c r="T43" s="19"/>
      <c r="U43" s="19"/>
      <c r="V43" s="19"/>
    </row>
    <row r="44" spans="1:22" x14ac:dyDescent="0.3">
      <c r="A44" s="6" t="s">
        <v>12</v>
      </c>
      <c r="B44" s="6" t="s">
        <v>85</v>
      </c>
      <c r="C44" s="11" t="s">
        <v>104</v>
      </c>
      <c r="D44" s="8" t="s">
        <v>105</v>
      </c>
      <c r="E44" s="28" t="s">
        <v>101</v>
      </c>
      <c r="F44" s="10" t="s">
        <v>88</v>
      </c>
      <c r="G44" s="19">
        <v>0.98209999999999997</v>
      </c>
      <c r="H44" s="19">
        <v>0.98209999999999997</v>
      </c>
      <c r="I44" s="19">
        <v>0.98209999999999997</v>
      </c>
      <c r="J44" s="19">
        <v>0.98209999999999997</v>
      </c>
      <c r="K44" s="19">
        <v>0.98209999999999997</v>
      </c>
      <c r="L44" s="33">
        <v>0.97789999999999999</v>
      </c>
      <c r="M44" s="19">
        <v>0.97789999999999999</v>
      </c>
      <c r="N44" s="19">
        <v>0.9819</v>
      </c>
      <c r="O44" s="19">
        <v>0.98199999999999998</v>
      </c>
      <c r="P44" s="19">
        <v>0.99764982373678002</v>
      </c>
      <c r="Q44" s="19"/>
      <c r="R44" s="19"/>
      <c r="S44" s="19"/>
      <c r="T44" s="19"/>
      <c r="U44" s="19"/>
      <c r="V44" s="19"/>
    </row>
    <row r="45" spans="1:22" x14ac:dyDescent="0.3">
      <c r="A45" s="6" t="s">
        <v>12</v>
      </c>
      <c r="B45" s="6" t="s">
        <v>85</v>
      </c>
      <c r="C45" s="11" t="s">
        <v>106</v>
      </c>
      <c r="D45" s="8" t="s">
        <v>107</v>
      </c>
      <c r="E45" s="6" t="s">
        <v>10</v>
      </c>
      <c r="F45" s="10" t="s">
        <v>88</v>
      </c>
      <c r="G45" s="19">
        <v>0.49330000000000002</v>
      </c>
      <c r="H45" s="19">
        <v>0.49330000000000002</v>
      </c>
      <c r="I45" s="19">
        <v>0.49330000000000002</v>
      </c>
      <c r="J45" s="19">
        <v>0.49330000000000002</v>
      </c>
      <c r="K45" s="19">
        <v>0.49330000000000002</v>
      </c>
      <c r="L45" s="42">
        <v>0.6633</v>
      </c>
      <c r="M45" s="19">
        <v>0.60550000000000004</v>
      </c>
      <c r="N45" s="19">
        <v>0.59499999999999997</v>
      </c>
      <c r="O45" s="19">
        <v>0.72900158478605404</v>
      </c>
      <c r="P45" s="19">
        <v>0.59953703703703698</v>
      </c>
      <c r="Q45" s="19"/>
      <c r="R45" s="19"/>
      <c r="S45" s="19"/>
      <c r="T45" s="19"/>
      <c r="U45" s="19"/>
      <c r="V45" s="19"/>
    </row>
    <row r="46" spans="1:22" x14ac:dyDescent="0.3">
      <c r="A46" s="6" t="s">
        <v>12</v>
      </c>
      <c r="B46" s="6" t="s">
        <v>85</v>
      </c>
      <c r="C46" s="11" t="s">
        <v>108</v>
      </c>
      <c r="D46" s="8" t="s">
        <v>109</v>
      </c>
      <c r="E46" s="6" t="s">
        <v>10</v>
      </c>
      <c r="F46" s="10" t="s">
        <v>88</v>
      </c>
      <c r="G46" s="9">
        <v>5</v>
      </c>
      <c r="H46" s="9">
        <v>5</v>
      </c>
      <c r="I46" s="9">
        <v>5</v>
      </c>
      <c r="J46" s="9">
        <v>5</v>
      </c>
      <c r="K46" s="9">
        <v>5</v>
      </c>
      <c r="L46" s="20">
        <v>3</v>
      </c>
      <c r="M46" s="9">
        <v>4</v>
      </c>
      <c r="N46" s="9">
        <v>12</v>
      </c>
      <c r="O46" s="9">
        <v>6</v>
      </c>
      <c r="P46" s="9">
        <v>7</v>
      </c>
      <c r="Q46" s="9"/>
      <c r="R46" s="9"/>
      <c r="S46" s="9"/>
      <c r="T46" s="9"/>
      <c r="U46" s="9"/>
      <c r="V46" s="9"/>
    </row>
    <row r="47" spans="1:22" x14ac:dyDescent="0.3">
      <c r="A47" s="6" t="s">
        <v>12</v>
      </c>
      <c r="B47" s="6" t="s">
        <v>110</v>
      </c>
      <c r="C47" s="11" t="s">
        <v>111</v>
      </c>
      <c r="D47" s="8" t="s">
        <v>112</v>
      </c>
      <c r="E47" s="6" t="s">
        <v>10</v>
      </c>
      <c r="F47" s="10" t="s">
        <v>113</v>
      </c>
      <c r="G47" s="9">
        <v>310</v>
      </c>
      <c r="H47" s="9">
        <v>310</v>
      </c>
      <c r="I47" s="9">
        <v>310</v>
      </c>
      <c r="J47" s="9">
        <v>310</v>
      </c>
      <c r="K47" s="9">
        <v>310</v>
      </c>
      <c r="L47" s="18">
        <v>249</v>
      </c>
      <c r="M47" s="9">
        <v>457</v>
      </c>
      <c r="N47" s="9">
        <v>142</v>
      </c>
      <c r="O47" s="9">
        <v>314</v>
      </c>
      <c r="P47" s="9">
        <v>210</v>
      </c>
      <c r="Q47" s="9"/>
      <c r="R47" s="9"/>
      <c r="S47" s="9"/>
      <c r="T47" s="9"/>
      <c r="U47" s="9"/>
      <c r="V47" s="9"/>
    </row>
    <row r="48" spans="1:22" x14ac:dyDescent="0.3">
      <c r="A48" s="6" t="s">
        <v>12</v>
      </c>
      <c r="B48" s="6" t="s">
        <v>110</v>
      </c>
      <c r="C48" s="11" t="s">
        <v>114</v>
      </c>
      <c r="D48" s="8" t="s">
        <v>115</v>
      </c>
      <c r="E48" s="6" t="s">
        <v>10</v>
      </c>
      <c r="F48" s="10" t="s">
        <v>113</v>
      </c>
      <c r="G48" s="9">
        <v>81</v>
      </c>
      <c r="H48" s="9">
        <v>81</v>
      </c>
      <c r="I48" s="9">
        <v>81</v>
      </c>
      <c r="J48" s="9">
        <v>81</v>
      </c>
      <c r="K48" s="9">
        <v>81</v>
      </c>
      <c r="L48" s="18">
        <v>171</v>
      </c>
      <c r="M48" s="9">
        <v>223</v>
      </c>
      <c r="N48" s="9">
        <v>115</v>
      </c>
      <c r="O48" s="9">
        <v>88</v>
      </c>
      <c r="P48" s="9">
        <v>288</v>
      </c>
      <c r="Q48" s="9"/>
      <c r="R48" s="9"/>
      <c r="S48" s="9"/>
      <c r="T48" s="9"/>
      <c r="U48" s="9"/>
      <c r="V48" s="9"/>
    </row>
    <row r="49" spans="1:22" x14ac:dyDescent="0.3">
      <c r="A49" s="6" t="s">
        <v>12</v>
      </c>
      <c r="B49" s="6" t="s">
        <v>110</v>
      </c>
      <c r="C49" s="11" t="s">
        <v>116</v>
      </c>
      <c r="D49" s="8" t="s">
        <v>117</v>
      </c>
      <c r="E49" s="6" t="s">
        <v>10</v>
      </c>
      <c r="F49" s="10" t="s">
        <v>113</v>
      </c>
      <c r="G49" s="43">
        <v>98</v>
      </c>
      <c r="H49" s="43">
        <v>98</v>
      </c>
      <c r="I49" s="43">
        <v>98</v>
      </c>
      <c r="J49" s="43">
        <v>98</v>
      </c>
      <c r="K49" s="43">
        <v>98</v>
      </c>
      <c r="L49" s="44">
        <v>108</v>
      </c>
      <c r="M49" s="45">
        <v>194</v>
      </c>
      <c r="N49" s="45">
        <v>147</v>
      </c>
      <c r="O49" s="45">
        <v>88</v>
      </c>
      <c r="P49" s="46">
        <v>163</v>
      </c>
      <c r="Q49" s="9"/>
      <c r="R49" s="9"/>
      <c r="S49" s="9"/>
      <c r="T49" s="9"/>
      <c r="U49" s="9"/>
      <c r="V49" s="9"/>
    </row>
    <row r="50" spans="1:22" x14ac:dyDescent="0.3">
      <c r="A50" s="6" t="s">
        <v>12</v>
      </c>
      <c r="B50" s="7" t="s">
        <v>110</v>
      </c>
      <c r="C50" s="11" t="s">
        <v>118</v>
      </c>
      <c r="D50" s="8" t="s">
        <v>119</v>
      </c>
      <c r="E50" s="6" t="s">
        <v>82</v>
      </c>
      <c r="F50" s="10" t="s">
        <v>113</v>
      </c>
      <c r="G50" s="19">
        <v>0.95550000000000002</v>
      </c>
      <c r="H50" s="19">
        <v>0.95550000000000002</v>
      </c>
      <c r="I50" s="19">
        <v>0.95550000000000002</v>
      </c>
      <c r="J50" s="19">
        <v>0.95550000000000002</v>
      </c>
      <c r="K50" s="19">
        <v>0.95550000000000002</v>
      </c>
      <c r="L50" s="47">
        <v>0.95079999999999998</v>
      </c>
      <c r="M50" s="19">
        <v>0.92769999999999997</v>
      </c>
      <c r="N50" s="19">
        <v>0.95179999999999998</v>
      </c>
      <c r="O50" s="19">
        <v>0.97430000000000005</v>
      </c>
      <c r="P50" s="19">
        <v>0.93669999999999998</v>
      </c>
      <c r="Q50" s="19"/>
      <c r="R50" s="19"/>
      <c r="S50" s="19"/>
      <c r="T50" s="19"/>
      <c r="U50" s="19"/>
      <c r="V50" s="19"/>
    </row>
    <row r="51" spans="1:22" ht="13.5" customHeight="1" x14ac:dyDescent="0.3">
      <c r="A51" s="6" t="s">
        <v>12</v>
      </c>
      <c r="B51" s="7" t="s">
        <v>110</v>
      </c>
      <c r="C51" s="11" t="s">
        <v>120</v>
      </c>
      <c r="D51" s="8" t="s">
        <v>121</v>
      </c>
      <c r="E51" s="6" t="s">
        <v>122</v>
      </c>
      <c r="F51" s="10" t="s">
        <v>113</v>
      </c>
      <c r="G51" s="19">
        <v>0.31612903225806399</v>
      </c>
      <c r="H51" s="19">
        <v>0.31612903225806399</v>
      </c>
      <c r="I51" s="19">
        <v>0.31612903225806399</v>
      </c>
      <c r="J51" s="19">
        <v>0.31612903225806399</v>
      </c>
      <c r="K51" s="19">
        <v>0.31612903225806399</v>
      </c>
      <c r="L51" s="19">
        <v>0.43373493975903599</v>
      </c>
      <c r="M51" s="19">
        <v>0.42450765864332601</v>
      </c>
      <c r="N51" s="48">
        <v>1.03521126760563</v>
      </c>
      <c r="O51" s="19">
        <v>0.28025477707006402</v>
      </c>
      <c r="P51" s="19">
        <v>0.77619047619047599</v>
      </c>
      <c r="Q51" s="19"/>
      <c r="R51" s="19"/>
      <c r="S51" s="19"/>
      <c r="T51" s="19"/>
      <c r="U51" s="19"/>
      <c r="V51" s="19"/>
    </row>
    <row r="52" spans="1:22" ht="13.5" customHeight="1" x14ac:dyDescent="0.3">
      <c r="A52" s="6" t="s">
        <v>12</v>
      </c>
      <c r="B52" s="7" t="s">
        <v>110</v>
      </c>
      <c r="C52" s="11" t="s">
        <v>123</v>
      </c>
      <c r="D52" s="8" t="s">
        <v>124</v>
      </c>
      <c r="E52" s="6" t="s">
        <v>10</v>
      </c>
      <c r="F52" s="10" t="s">
        <v>113</v>
      </c>
      <c r="G52" s="49"/>
      <c r="H52" s="49"/>
      <c r="I52" s="49"/>
      <c r="J52" s="49"/>
      <c r="K52" s="49"/>
      <c r="L52" s="49"/>
      <c r="M52" s="49"/>
      <c r="N52" s="9"/>
      <c r="O52" s="9"/>
      <c r="P52" s="9"/>
      <c r="Q52" s="9"/>
      <c r="R52" s="9"/>
      <c r="S52" s="9"/>
      <c r="T52" s="9"/>
      <c r="U52" s="9"/>
      <c r="V52" s="9"/>
    </row>
    <row r="53" spans="1:22" x14ac:dyDescent="0.3">
      <c r="A53" s="6" t="s">
        <v>12</v>
      </c>
      <c r="B53" s="7" t="s">
        <v>110</v>
      </c>
      <c r="C53" s="11" t="s">
        <v>125</v>
      </c>
      <c r="D53" s="8" t="s">
        <v>126</v>
      </c>
      <c r="E53" s="6" t="s">
        <v>10</v>
      </c>
      <c r="F53" s="10" t="s">
        <v>113</v>
      </c>
      <c r="G53" s="49"/>
      <c r="H53" s="49"/>
      <c r="I53" s="49"/>
      <c r="J53" s="49"/>
      <c r="K53" s="49"/>
      <c r="L53" s="49"/>
      <c r="M53" s="49"/>
      <c r="N53" s="9"/>
      <c r="O53" s="9"/>
      <c r="P53" s="9"/>
      <c r="Q53" s="9"/>
      <c r="R53" s="9"/>
      <c r="S53" s="9"/>
      <c r="T53" s="9"/>
      <c r="U53" s="9"/>
      <c r="V53" s="9"/>
    </row>
    <row r="54" spans="1:22" x14ac:dyDescent="0.3">
      <c r="A54" s="6" t="s">
        <v>12</v>
      </c>
      <c r="B54" s="7" t="s">
        <v>110</v>
      </c>
      <c r="C54" s="11" t="s">
        <v>127</v>
      </c>
      <c r="D54" s="8" t="s">
        <v>128</v>
      </c>
      <c r="E54" s="6" t="s">
        <v>129</v>
      </c>
      <c r="F54" s="10" t="s">
        <v>113</v>
      </c>
      <c r="G54" s="49"/>
      <c r="H54" s="49"/>
      <c r="I54" s="49"/>
      <c r="J54" s="49"/>
      <c r="K54" s="49"/>
      <c r="L54" s="49"/>
      <c r="M54" s="49"/>
      <c r="N54" s="9"/>
      <c r="O54" s="9"/>
      <c r="P54" s="9"/>
      <c r="Q54" s="9"/>
      <c r="R54" s="9"/>
      <c r="S54" s="9"/>
      <c r="T54" s="9"/>
      <c r="U54" s="9"/>
      <c r="V54" s="9"/>
    </row>
    <row r="55" spans="1:22" ht="12" customHeight="1" x14ac:dyDescent="0.3">
      <c r="A55" s="7" t="s">
        <v>130</v>
      </c>
      <c r="B55" s="6" t="s">
        <v>7</v>
      </c>
      <c r="C55" s="11" t="s">
        <v>131</v>
      </c>
      <c r="D55" s="8" t="s">
        <v>132</v>
      </c>
      <c r="E55" s="6" t="s">
        <v>10</v>
      </c>
      <c r="F55" s="10" t="s">
        <v>133</v>
      </c>
      <c r="G55" s="9"/>
      <c r="H55" s="9"/>
      <c r="I55" s="9"/>
      <c r="J55" s="9"/>
      <c r="K55" s="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spans="1:22" ht="12" customHeight="1" x14ac:dyDescent="0.3">
      <c r="A56" s="7" t="s">
        <v>130</v>
      </c>
      <c r="B56" s="6" t="s">
        <v>7</v>
      </c>
      <c r="C56" s="11" t="s">
        <v>134</v>
      </c>
      <c r="D56" s="8" t="s">
        <v>135</v>
      </c>
      <c r="E56" s="6" t="s">
        <v>10</v>
      </c>
      <c r="F56" s="10" t="s">
        <v>133</v>
      </c>
      <c r="G56" s="43">
        <v>14567</v>
      </c>
      <c r="H56" s="43">
        <v>14567</v>
      </c>
      <c r="I56" s="43">
        <v>14567</v>
      </c>
      <c r="J56" s="43">
        <v>14567</v>
      </c>
      <c r="K56" s="43">
        <v>14567</v>
      </c>
      <c r="L56" s="45">
        <v>14567</v>
      </c>
      <c r="M56" s="46">
        <v>14567</v>
      </c>
      <c r="N56" s="43">
        <v>14567</v>
      </c>
      <c r="O56" s="45">
        <v>14567</v>
      </c>
      <c r="P56" s="46">
        <v>14567</v>
      </c>
      <c r="Q56" s="19"/>
      <c r="R56" s="19"/>
      <c r="S56" s="19"/>
      <c r="T56" s="19"/>
      <c r="U56" s="19"/>
      <c r="V56" s="19"/>
    </row>
    <row r="57" spans="1:22" ht="12" customHeight="1" x14ac:dyDescent="0.3">
      <c r="A57" s="7" t="s">
        <v>130</v>
      </c>
      <c r="B57" s="6" t="s">
        <v>7</v>
      </c>
      <c r="C57" s="11" t="s">
        <v>134</v>
      </c>
      <c r="D57" s="8" t="s">
        <v>136</v>
      </c>
      <c r="E57" s="6" t="s">
        <v>10</v>
      </c>
      <c r="F57" s="10" t="s">
        <v>133</v>
      </c>
      <c r="G57" s="43">
        <v>649356</v>
      </c>
      <c r="H57" s="43">
        <v>649356</v>
      </c>
      <c r="I57" s="43">
        <v>649356</v>
      </c>
      <c r="J57" s="43">
        <v>649356</v>
      </c>
      <c r="K57" s="43">
        <v>649356</v>
      </c>
      <c r="L57" s="45">
        <v>668043</v>
      </c>
      <c r="M57" s="46">
        <v>668043</v>
      </c>
      <c r="N57" s="43">
        <v>668043</v>
      </c>
      <c r="O57" s="45">
        <v>668043</v>
      </c>
      <c r="P57" s="46">
        <v>668043</v>
      </c>
      <c r="Q57" s="19"/>
      <c r="R57" s="19"/>
      <c r="S57" s="19"/>
      <c r="T57" s="19"/>
      <c r="U57" s="19"/>
      <c r="V57" s="19"/>
    </row>
    <row r="58" spans="1:22" ht="12" customHeight="1" x14ac:dyDescent="0.3">
      <c r="A58" s="7" t="s">
        <v>130</v>
      </c>
      <c r="B58" s="6" t="s">
        <v>7</v>
      </c>
      <c r="C58" s="11" t="s">
        <v>137</v>
      </c>
      <c r="D58" s="8" t="s">
        <v>138</v>
      </c>
      <c r="E58" s="6" t="s">
        <v>10</v>
      </c>
      <c r="F58" s="10" t="s">
        <v>133</v>
      </c>
      <c r="G58" s="43">
        <v>3</v>
      </c>
      <c r="H58" s="43">
        <v>3</v>
      </c>
      <c r="I58" s="43">
        <v>3</v>
      </c>
      <c r="J58" s="43">
        <v>3</v>
      </c>
      <c r="K58" s="43">
        <v>3</v>
      </c>
      <c r="L58" s="45">
        <v>11</v>
      </c>
      <c r="M58" s="46">
        <v>11</v>
      </c>
      <c r="N58" s="9">
        <v>11</v>
      </c>
      <c r="O58" s="9">
        <v>11</v>
      </c>
      <c r="P58" s="9">
        <v>11</v>
      </c>
      <c r="Q58" s="19"/>
      <c r="R58" s="19"/>
      <c r="S58" s="19"/>
      <c r="T58" s="19"/>
      <c r="U58" s="19"/>
      <c r="V58" s="19"/>
    </row>
    <row r="59" spans="1:22" ht="13.5" customHeight="1" x14ac:dyDescent="0.3">
      <c r="A59" s="6" t="s">
        <v>130</v>
      </c>
      <c r="B59" s="6" t="s">
        <v>7</v>
      </c>
      <c r="C59" s="11" t="s">
        <v>34</v>
      </c>
      <c r="D59" s="8" t="s">
        <v>139</v>
      </c>
      <c r="E59" s="28">
        <v>1</v>
      </c>
      <c r="F59" s="10" t="s">
        <v>133</v>
      </c>
      <c r="G59" s="29">
        <v>1</v>
      </c>
      <c r="H59" s="29">
        <v>1</v>
      </c>
      <c r="I59" s="29">
        <v>1</v>
      </c>
      <c r="J59" s="29">
        <v>1</v>
      </c>
      <c r="K59" s="29">
        <v>1</v>
      </c>
      <c r="L59" s="29">
        <v>1</v>
      </c>
      <c r="M59" s="29">
        <v>1</v>
      </c>
      <c r="N59" s="29">
        <v>1</v>
      </c>
      <c r="O59" s="29">
        <v>1</v>
      </c>
      <c r="P59" s="29">
        <v>1</v>
      </c>
      <c r="Q59" s="19"/>
      <c r="R59" s="19"/>
      <c r="S59" s="19"/>
      <c r="T59" s="19"/>
      <c r="U59" s="19"/>
      <c r="V59" s="19"/>
    </row>
    <row r="60" spans="1:22" x14ac:dyDescent="0.3">
      <c r="A60" s="6" t="s">
        <v>130</v>
      </c>
      <c r="B60" s="6" t="s">
        <v>7</v>
      </c>
      <c r="C60" s="11" t="s">
        <v>140</v>
      </c>
      <c r="D60" s="8" t="s">
        <v>141</v>
      </c>
      <c r="E60" s="6" t="s">
        <v>10</v>
      </c>
      <c r="F60" s="10" t="s">
        <v>53</v>
      </c>
      <c r="G60" s="9">
        <v>154</v>
      </c>
      <c r="H60" s="9">
        <v>154</v>
      </c>
      <c r="I60" s="9">
        <v>154</v>
      </c>
      <c r="J60" s="9">
        <v>154</v>
      </c>
      <c r="K60" s="9">
        <v>154</v>
      </c>
      <c r="L60" s="20">
        <v>23</v>
      </c>
      <c r="M60" s="9">
        <v>292</v>
      </c>
      <c r="N60" s="9">
        <v>64</v>
      </c>
      <c r="O60" s="9">
        <v>100</v>
      </c>
      <c r="P60" s="9">
        <v>38</v>
      </c>
      <c r="Q60" s="9"/>
      <c r="R60" s="9"/>
      <c r="S60" s="9"/>
      <c r="T60" s="9"/>
      <c r="U60" s="9"/>
      <c r="V60" s="9"/>
    </row>
    <row r="61" spans="1:22" ht="13.25" customHeight="1" x14ac:dyDescent="0.3">
      <c r="A61" s="6" t="s">
        <v>130</v>
      </c>
      <c r="B61" s="6" t="s">
        <v>7</v>
      </c>
      <c r="C61" s="11" t="s">
        <v>142</v>
      </c>
      <c r="D61" s="8" t="s">
        <v>142</v>
      </c>
      <c r="E61" s="6" t="s">
        <v>10</v>
      </c>
      <c r="F61" s="10" t="s">
        <v>53</v>
      </c>
      <c r="G61" s="9">
        <v>154</v>
      </c>
      <c r="H61" s="9">
        <v>154</v>
      </c>
      <c r="I61" s="9">
        <v>154</v>
      </c>
      <c r="J61" s="9">
        <v>154</v>
      </c>
      <c r="K61" s="9">
        <v>154</v>
      </c>
      <c r="L61" s="20">
        <v>23</v>
      </c>
      <c r="M61" s="9">
        <v>292</v>
      </c>
      <c r="N61" s="9">
        <v>64</v>
      </c>
      <c r="O61" s="9">
        <v>100</v>
      </c>
      <c r="P61" s="9">
        <v>38</v>
      </c>
      <c r="Q61" s="9"/>
      <c r="R61" s="9"/>
      <c r="S61" s="9"/>
      <c r="T61" s="9"/>
      <c r="U61" s="9"/>
      <c r="V61" s="9"/>
    </row>
    <row r="62" spans="1:22" x14ac:dyDescent="0.3">
      <c r="A62" s="6" t="s">
        <v>130</v>
      </c>
      <c r="B62" s="6" t="s">
        <v>7</v>
      </c>
      <c r="C62" s="11" t="s">
        <v>143</v>
      </c>
      <c r="D62" s="8" t="s">
        <v>144</v>
      </c>
      <c r="E62" s="28" t="s">
        <v>145</v>
      </c>
      <c r="F62" s="10" t="s">
        <v>53</v>
      </c>
      <c r="G62" s="19">
        <v>1</v>
      </c>
      <c r="H62" s="19">
        <v>1</v>
      </c>
      <c r="I62" s="19">
        <v>1</v>
      </c>
      <c r="J62" s="19">
        <v>1</v>
      </c>
      <c r="K62" s="19">
        <v>1</v>
      </c>
      <c r="L62" s="39">
        <v>1</v>
      </c>
      <c r="M62" s="19">
        <v>1</v>
      </c>
      <c r="N62" s="19">
        <v>1</v>
      </c>
      <c r="O62" s="19">
        <v>1</v>
      </c>
      <c r="P62" s="19">
        <v>1</v>
      </c>
      <c r="Q62" s="19"/>
      <c r="R62" s="19"/>
      <c r="S62" s="19"/>
      <c r="T62" s="19"/>
      <c r="U62" s="19"/>
      <c r="V62" s="19"/>
    </row>
    <row r="63" spans="1:22" x14ac:dyDescent="0.3">
      <c r="A63" s="6" t="s">
        <v>130</v>
      </c>
      <c r="B63" s="6" t="s">
        <v>7</v>
      </c>
      <c r="C63" s="11" t="s">
        <v>146</v>
      </c>
      <c r="D63" s="8" t="s">
        <v>147</v>
      </c>
      <c r="E63" s="6" t="s">
        <v>10</v>
      </c>
      <c r="F63" s="10" t="s">
        <v>133</v>
      </c>
      <c r="G63" s="9"/>
      <c r="H63" s="9"/>
      <c r="I63" s="9"/>
      <c r="J63" s="9"/>
      <c r="K63" s="9"/>
      <c r="L63" s="20"/>
      <c r="M63" s="19">
        <v>4.720999520334E-4</v>
      </c>
      <c r="N63" s="19">
        <v>4.0703196170023098E-4</v>
      </c>
      <c r="O63" s="19">
        <v>4.8903765440839997E-4</v>
      </c>
      <c r="P63" s="19">
        <v>5.0994086475239996E-4</v>
      </c>
      <c r="Q63" s="9"/>
      <c r="R63" s="9"/>
      <c r="S63" s="9"/>
      <c r="T63" s="9"/>
      <c r="U63" s="9"/>
      <c r="V63" s="9"/>
    </row>
    <row r="64" spans="1:22" x14ac:dyDescent="0.3">
      <c r="A64" s="6" t="s">
        <v>130</v>
      </c>
      <c r="B64" s="6" t="s">
        <v>7</v>
      </c>
      <c r="C64" s="11" t="s">
        <v>148</v>
      </c>
      <c r="D64" s="8" t="s">
        <v>37</v>
      </c>
      <c r="E64" s="6" t="s">
        <v>10</v>
      </c>
      <c r="F64" s="10" t="s">
        <v>133</v>
      </c>
      <c r="G64" s="50">
        <v>31.56</v>
      </c>
      <c r="H64" s="50">
        <v>31.56</v>
      </c>
      <c r="I64" s="50">
        <v>31.56</v>
      </c>
      <c r="J64" s="50">
        <v>31.56</v>
      </c>
      <c r="K64" s="50">
        <v>31.56</v>
      </c>
      <c r="L64" s="50">
        <f>(K64+2444.32/10000)</f>
        <v>31.804431999999998</v>
      </c>
      <c r="M64" s="50">
        <f>(L64+0/10000)</f>
        <v>31.804431999999998</v>
      </c>
      <c r="N64" s="50">
        <f>(M64+0/10000)</f>
        <v>31.804431999999998</v>
      </c>
      <c r="O64" s="50">
        <f>(N64+249423.2/10000)</f>
        <v>56.746752000000001</v>
      </c>
      <c r="P64" s="50">
        <f>(O64+3155.68/10000)</f>
        <v>57.06232</v>
      </c>
      <c r="Q64" s="19"/>
      <c r="R64" s="19"/>
      <c r="S64" s="19"/>
      <c r="T64" s="19"/>
      <c r="U64" s="19"/>
      <c r="V64" s="19"/>
    </row>
    <row r="65" spans="1:22" x14ac:dyDescent="0.3">
      <c r="A65" s="6" t="s">
        <v>130</v>
      </c>
      <c r="B65" s="6" t="s">
        <v>7</v>
      </c>
      <c r="C65" s="11" t="s">
        <v>38</v>
      </c>
      <c r="D65" s="8" t="s">
        <v>149</v>
      </c>
      <c r="E65" s="6" t="s">
        <v>10</v>
      </c>
      <c r="F65" s="10" t="s">
        <v>133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spans="1:22" x14ac:dyDescent="0.3">
      <c r="A66" s="6" t="s">
        <v>130</v>
      </c>
      <c r="B66" s="6" t="s">
        <v>50</v>
      </c>
      <c r="C66" s="11" t="s">
        <v>150</v>
      </c>
      <c r="D66" s="8" t="s">
        <v>151</v>
      </c>
      <c r="E66" s="6" t="s">
        <v>10</v>
      </c>
      <c r="F66" s="10" t="s">
        <v>53</v>
      </c>
      <c r="G66" s="9">
        <v>154</v>
      </c>
      <c r="H66" s="9">
        <v>154</v>
      </c>
      <c r="I66" s="9">
        <v>154</v>
      </c>
      <c r="J66" s="9">
        <v>154</v>
      </c>
      <c r="K66" s="9">
        <v>154</v>
      </c>
      <c r="L66" s="20">
        <v>23</v>
      </c>
      <c r="M66" s="9">
        <v>292</v>
      </c>
      <c r="N66" s="9">
        <v>64</v>
      </c>
      <c r="O66" s="9">
        <v>100</v>
      </c>
      <c r="P66" s="9">
        <v>38</v>
      </c>
      <c r="Q66" s="9"/>
      <c r="R66" s="9"/>
      <c r="S66" s="9"/>
      <c r="T66" s="9"/>
      <c r="U66" s="9"/>
      <c r="V66" s="9"/>
    </row>
    <row r="67" spans="1:22" x14ac:dyDescent="0.3">
      <c r="A67" s="6" t="s">
        <v>130</v>
      </c>
      <c r="B67" s="6" t="s">
        <v>50</v>
      </c>
      <c r="C67" s="11" t="s">
        <v>152</v>
      </c>
      <c r="D67" s="8" t="s">
        <v>153</v>
      </c>
      <c r="E67" s="28" t="s">
        <v>145</v>
      </c>
      <c r="F67" s="10" t="s">
        <v>53</v>
      </c>
      <c r="G67" s="19">
        <v>1</v>
      </c>
      <c r="H67" s="19">
        <v>1</v>
      </c>
      <c r="I67" s="19">
        <v>1</v>
      </c>
      <c r="J67" s="19">
        <v>1</v>
      </c>
      <c r="K67" s="19">
        <v>1</v>
      </c>
      <c r="L67" s="39">
        <v>1</v>
      </c>
      <c r="M67" s="19">
        <v>1</v>
      </c>
      <c r="N67" s="19">
        <v>1</v>
      </c>
      <c r="O67" s="19">
        <v>1</v>
      </c>
      <c r="P67" s="19">
        <v>1</v>
      </c>
      <c r="Q67" s="19"/>
      <c r="R67" s="19"/>
      <c r="S67" s="19"/>
      <c r="T67" s="19"/>
      <c r="U67" s="19"/>
      <c r="V67" s="19"/>
    </row>
    <row r="68" spans="1:22" ht="13.5" customHeight="1" x14ac:dyDescent="0.3">
      <c r="A68" s="6" t="s">
        <v>130</v>
      </c>
      <c r="B68" s="6" t="s">
        <v>50</v>
      </c>
      <c r="C68" s="11" t="s">
        <v>154</v>
      </c>
      <c r="D68" s="8" t="s">
        <v>155</v>
      </c>
      <c r="E68" s="6" t="s">
        <v>10</v>
      </c>
      <c r="F68" s="10" t="s">
        <v>53</v>
      </c>
      <c r="G68" s="9">
        <v>154</v>
      </c>
      <c r="H68" s="9">
        <v>154</v>
      </c>
      <c r="I68" s="9">
        <v>154</v>
      </c>
      <c r="J68" s="9">
        <v>154</v>
      </c>
      <c r="K68" s="9">
        <v>154</v>
      </c>
      <c r="L68" s="20">
        <v>23</v>
      </c>
      <c r="M68" s="9">
        <v>292</v>
      </c>
      <c r="N68" s="9">
        <v>64</v>
      </c>
      <c r="O68" s="9">
        <v>100</v>
      </c>
      <c r="P68" s="9">
        <v>38</v>
      </c>
      <c r="Q68" s="9"/>
      <c r="R68" s="9"/>
      <c r="S68" s="9"/>
      <c r="T68" s="9"/>
      <c r="U68" s="9"/>
      <c r="V68" s="9"/>
    </row>
    <row r="69" spans="1:22" x14ac:dyDescent="0.3">
      <c r="A69" s="6" t="s">
        <v>130</v>
      </c>
      <c r="B69" s="6" t="s">
        <v>50</v>
      </c>
      <c r="C69" s="11" t="s">
        <v>156</v>
      </c>
      <c r="D69" s="8" t="s">
        <v>157</v>
      </c>
      <c r="E69" s="6" t="s">
        <v>10</v>
      </c>
      <c r="F69" s="10" t="s">
        <v>53</v>
      </c>
      <c r="G69" s="19">
        <v>1</v>
      </c>
      <c r="H69" s="19">
        <v>1</v>
      </c>
      <c r="I69" s="19">
        <v>1</v>
      </c>
      <c r="J69" s="19">
        <v>1</v>
      </c>
      <c r="K69" s="19">
        <v>1</v>
      </c>
      <c r="L69" s="39">
        <v>1</v>
      </c>
      <c r="M69" s="19">
        <v>1</v>
      </c>
      <c r="N69" s="19">
        <v>1</v>
      </c>
      <c r="O69" s="19">
        <v>1</v>
      </c>
      <c r="P69" s="19">
        <v>1</v>
      </c>
      <c r="Q69" s="19"/>
      <c r="R69" s="19"/>
      <c r="S69" s="19"/>
      <c r="T69" s="19"/>
      <c r="U69" s="19"/>
      <c r="V69" s="19"/>
    </row>
    <row r="70" spans="1:22" x14ac:dyDescent="0.3">
      <c r="A70" s="6" t="s">
        <v>158</v>
      </c>
      <c r="B70" s="6" t="s">
        <v>110</v>
      </c>
      <c r="C70" s="11" t="s">
        <v>159</v>
      </c>
      <c r="D70" s="8" t="s">
        <v>160</v>
      </c>
      <c r="E70" s="6" t="s">
        <v>10</v>
      </c>
      <c r="F70" s="10" t="s">
        <v>161</v>
      </c>
      <c r="G70" s="9">
        <v>53</v>
      </c>
      <c r="H70" s="9">
        <v>53</v>
      </c>
      <c r="I70" s="9">
        <v>53</v>
      </c>
      <c r="J70" s="9">
        <v>53</v>
      </c>
      <c r="K70" s="9">
        <v>53</v>
      </c>
      <c r="L70" s="51">
        <v>22</v>
      </c>
      <c r="M70" s="9">
        <v>14</v>
      </c>
      <c r="N70" s="9">
        <v>32</v>
      </c>
      <c r="O70" s="9">
        <v>17</v>
      </c>
      <c r="P70" s="9">
        <v>34</v>
      </c>
      <c r="Q70" s="9"/>
      <c r="R70" s="9"/>
      <c r="S70" s="9"/>
      <c r="T70" s="9"/>
      <c r="U70" s="9"/>
      <c r="V70" s="9"/>
    </row>
    <row r="71" spans="1:22" x14ac:dyDescent="0.3">
      <c r="A71" s="6" t="s">
        <v>158</v>
      </c>
      <c r="B71" s="6" t="s">
        <v>110</v>
      </c>
      <c r="C71" s="11" t="s">
        <v>162</v>
      </c>
      <c r="D71" s="8" t="s">
        <v>163</v>
      </c>
      <c r="E71" s="6" t="s">
        <v>10</v>
      </c>
      <c r="F71" s="10" t="s">
        <v>161</v>
      </c>
      <c r="G71" s="9">
        <v>53</v>
      </c>
      <c r="H71" s="9">
        <v>53</v>
      </c>
      <c r="I71" s="9">
        <v>53</v>
      </c>
      <c r="J71" s="9">
        <v>53</v>
      </c>
      <c r="K71" s="9">
        <v>53</v>
      </c>
      <c r="L71" s="51">
        <v>22</v>
      </c>
      <c r="M71" s="9">
        <v>14</v>
      </c>
      <c r="N71" s="9">
        <v>32</v>
      </c>
      <c r="O71" s="9">
        <v>17</v>
      </c>
      <c r="P71" s="9">
        <v>34</v>
      </c>
      <c r="Q71" s="9"/>
      <c r="R71" s="9"/>
      <c r="S71" s="9"/>
      <c r="T71" s="9"/>
      <c r="U71" s="9"/>
      <c r="V71" s="9"/>
    </row>
    <row r="72" spans="1:22" x14ac:dyDescent="0.3">
      <c r="A72" s="6" t="s">
        <v>158</v>
      </c>
      <c r="B72" s="6" t="s">
        <v>110</v>
      </c>
      <c r="C72" s="13" t="s">
        <v>164</v>
      </c>
      <c r="D72" s="8" t="s">
        <v>165</v>
      </c>
      <c r="E72" s="6" t="s">
        <v>10</v>
      </c>
      <c r="F72" s="10" t="s">
        <v>161</v>
      </c>
      <c r="G72" s="9">
        <v>47</v>
      </c>
      <c r="H72" s="9">
        <v>47</v>
      </c>
      <c r="I72" s="9">
        <v>47</v>
      </c>
      <c r="J72" s="9">
        <v>47</v>
      </c>
      <c r="K72" s="9">
        <v>47</v>
      </c>
      <c r="L72" s="51">
        <v>22</v>
      </c>
      <c r="M72" s="9">
        <v>11</v>
      </c>
      <c r="N72" s="9">
        <v>26</v>
      </c>
      <c r="O72" s="9">
        <v>15</v>
      </c>
      <c r="P72" s="9">
        <v>32</v>
      </c>
      <c r="Q72" s="9"/>
      <c r="R72" s="9"/>
      <c r="S72" s="9"/>
      <c r="T72" s="9"/>
      <c r="U72" s="9"/>
      <c r="V72" s="9"/>
    </row>
    <row r="73" spans="1:22" x14ac:dyDescent="0.3">
      <c r="A73" s="6" t="s">
        <v>158</v>
      </c>
      <c r="B73" s="6" t="s">
        <v>110</v>
      </c>
      <c r="C73" s="13" t="s">
        <v>166</v>
      </c>
      <c r="D73" s="52" t="s">
        <v>167</v>
      </c>
      <c r="E73" s="37" t="s">
        <v>168</v>
      </c>
      <c r="F73" s="10" t="s">
        <v>161</v>
      </c>
      <c r="G73" s="19">
        <v>0.97499999999999998</v>
      </c>
      <c r="H73" s="19">
        <v>0.97499999999999998</v>
      </c>
      <c r="I73" s="19">
        <v>0.97499999999999998</v>
      </c>
      <c r="J73" s="19">
        <v>0.97499999999999998</v>
      </c>
      <c r="K73" s="19">
        <v>0.97499999999999998</v>
      </c>
      <c r="L73" s="53">
        <v>0.97599999999999998</v>
      </c>
      <c r="M73" s="19">
        <v>0.97299999999999998</v>
      </c>
      <c r="N73" s="19">
        <v>0.97399999999999998</v>
      </c>
      <c r="O73" s="19">
        <v>0.97499999999999998</v>
      </c>
      <c r="P73" s="19">
        <v>0.97299999999999998</v>
      </c>
      <c r="Q73" s="19"/>
      <c r="R73" s="19"/>
      <c r="S73" s="19"/>
      <c r="T73" s="19"/>
      <c r="U73" s="19"/>
      <c r="V73" s="19"/>
    </row>
    <row r="74" spans="1:22" x14ac:dyDescent="0.3">
      <c r="A74" s="6" t="s">
        <v>158</v>
      </c>
      <c r="B74" s="6" t="s">
        <v>110</v>
      </c>
      <c r="C74" s="13" t="s">
        <v>169</v>
      </c>
      <c r="D74" s="8" t="s">
        <v>170</v>
      </c>
      <c r="E74" s="6" t="s">
        <v>10</v>
      </c>
      <c r="F74" s="10" t="s">
        <v>161</v>
      </c>
      <c r="G74" s="9">
        <v>11</v>
      </c>
      <c r="H74" s="9">
        <v>11</v>
      </c>
      <c r="I74" s="9">
        <v>11</v>
      </c>
      <c r="J74" s="9">
        <v>11</v>
      </c>
      <c r="K74" s="9">
        <v>11</v>
      </c>
      <c r="L74" s="54">
        <v>2</v>
      </c>
      <c r="M74" s="9">
        <v>6</v>
      </c>
      <c r="N74" s="9">
        <v>8</v>
      </c>
      <c r="O74" s="9">
        <v>4</v>
      </c>
      <c r="P74" s="9">
        <v>11</v>
      </c>
      <c r="Q74" s="9"/>
      <c r="R74" s="9"/>
      <c r="S74" s="9"/>
      <c r="T74" s="9"/>
      <c r="U74" s="9"/>
      <c r="V74" s="9"/>
    </row>
    <row r="75" spans="1:22" x14ac:dyDescent="0.3">
      <c r="A75" s="6" t="s">
        <v>158</v>
      </c>
      <c r="B75" s="6" t="s">
        <v>110</v>
      </c>
      <c r="C75" s="13" t="s">
        <v>171</v>
      </c>
      <c r="D75" s="8" t="s">
        <v>172</v>
      </c>
      <c r="E75" s="37" t="s">
        <v>168</v>
      </c>
      <c r="F75" s="10" t="s">
        <v>161</v>
      </c>
      <c r="G75" s="29">
        <v>1</v>
      </c>
      <c r="H75" s="29">
        <v>1</v>
      </c>
      <c r="I75" s="29">
        <v>1</v>
      </c>
      <c r="J75" s="29">
        <v>1</v>
      </c>
      <c r="K75" s="29">
        <v>1</v>
      </c>
      <c r="L75" s="30">
        <v>1</v>
      </c>
      <c r="M75" s="29">
        <v>1</v>
      </c>
      <c r="N75" s="29">
        <v>1</v>
      </c>
      <c r="O75" s="29">
        <v>1</v>
      </c>
      <c r="P75" s="29">
        <v>1</v>
      </c>
      <c r="Q75" s="29"/>
      <c r="R75" s="29"/>
      <c r="S75" s="29"/>
      <c r="T75" s="29"/>
      <c r="U75" s="29"/>
      <c r="V75" s="29"/>
    </row>
    <row r="76" spans="1:22" x14ac:dyDescent="0.3">
      <c r="A76" s="6" t="s">
        <v>158</v>
      </c>
      <c r="B76" s="6" t="s">
        <v>110</v>
      </c>
      <c r="C76" s="11" t="s">
        <v>173</v>
      </c>
      <c r="D76" s="52" t="s">
        <v>174</v>
      </c>
      <c r="E76" s="6" t="s">
        <v>10</v>
      </c>
      <c r="F76" s="10" t="s">
        <v>161</v>
      </c>
      <c r="G76" s="9">
        <v>6</v>
      </c>
      <c r="H76" s="9">
        <v>6</v>
      </c>
      <c r="I76" s="9">
        <v>6</v>
      </c>
      <c r="J76" s="9">
        <v>6</v>
      </c>
      <c r="K76" s="9">
        <v>6</v>
      </c>
      <c r="L76" s="51">
        <v>0</v>
      </c>
      <c r="M76" s="9">
        <v>5</v>
      </c>
      <c r="N76" s="9">
        <v>6</v>
      </c>
      <c r="O76" s="9">
        <v>6</v>
      </c>
      <c r="P76" s="9">
        <v>2</v>
      </c>
      <c r="Q76" s="9"/>
      <c r="R76" s="9"/>
      <c r="S76" s="9"/>
      <c r="T76" s="9"/>
      <c r="U76" s="9"/>
      <c r="V76" s="9"/>
    </row>
    <row r="77" spans="1:22" x14ac:dyDescent="0.3">
      <c r="A77" s="6" t="s">
        <v>158</v>
      </c>
      <c r="B77" s="6" t="s">
        <v>110</v>
      </c>
      <c r="C77" s="11" t="s">
        <v>175</v>
      </c>
      <c r="D77" s="8" t="s">
        <v>176</v>
      </c>
      <c r="E77" s="6" t="s">
        <v>10</v>
      </c>
      <c r="F77" s="10" t="s">
        <v>161</v>
      </c>
      <c r="G77" s="9">
        <v>2</v>
      </c>
      <c r="H77" s="9">
        <v>2</v>
      </c>
      <c r="I77" s="9">
        <v>2</v>
      </c>
      <c r="J77" s="9">
        <v>2</v>
      </c>
      <c r="K77" s="9">
        <v>2</v>
      </c>
      <c r="L77" s="54">
        <v>0</v>
      </c>
      <c r="M77" s="9">
        <v>5</v>
      </c>
      <c r="N77" s="9">
        <v>1</v>
      </c>
      <c r="O77" s="9">
        <v>5</v>
      </c>
      <c r="P77" s="9">
        <v>2</v>
      </c>
      <c r="Q77" s="9"/>
      <c r="R77" s="9"/>
      <c r="S77" s="9"/>
      <c r="T77" s="9"/>
      <c r="U77" s="9"/>
      <c r="V77" s="9"/>
    </row>
    <row r="78" spans="1:22" ht="13.5" customHeight="1" x14ac:dyDescent="0.3">
      <c r="A78" s="6" t="s">
        <v>158</v>
      </c>
      <c r="B78" s="6" t="s">
        <v>110</v>
      </c>
      <c r="C78" s="11" t="s">
        <v>177</v>
      </c>
      <c r="D78" s="8" t="s">
        <v>178</v>
      </c>
      <c r="E78" s="6" t="s">
        <v>10</v>
      </c>
      <c r="F78" s="10" t="s">
        <v>161</v>
      </c>
      <c r="G78" s="9">
        <v>456</v>
      </c>
      <c r="H78" s="9">
        <v>456</v>
      </c>
      <c r="I78" s="9">
        <v>456</v>
      </c>
      <c r="J78" s="9">
        <v>456</v>
      </c>
      <c r="K78" s="9">
        <v>456</v>
      </c>
      <c r="L78" s="54">
        <v>0</v>
      </c>
      <c r="M78" s="9">
        <v>6251</v>
      </c>
      <c r="N78" s="9">
        <v>2608</v>
      </c>
      <c r="O78" s="9">
        <v>5196</v>
      </c>
      <c r="P78" s="9">
        <v>1437</v>
      </c>
      <c r="Q78" s="9"/>
      <c r="R78" s="9"/>
      <c r="S78" s="9"/>
      <c r="T78" s="9"/>
      <c r="U78" s="9"/>
      <c r="V78" s="9"/>
    </row>
    <row r="79" spans="1:22" ht="13.5" customHeight="1" x14ac:dyDescent="0.3">
      <c r="A79" s="6" t="s">
        <v>158</v>
      </c>
      <c r="B79" s="6" t="s">
        <v>110</v>
      </c>
      <c r="C79" s="11" t="s">
        <v>179</v>
      </c>
      <c r="D79" s="8" t="s">
        <v>180</v>
      </c>
      <c r="E79" s="6" t="s">
        <v>10</v>
      </c>
      <c r="F79" s="10" t="s">
        <v>161</v>
      </c>
      <c r="G79" s="55">
        <v>265</v>
      </c>
      <c r="H79" s="55">
        <v>265</v>
      </c>
      <c r="I79" s="55">
        <v>265</v>
      </c>
      <c r="J79" s="55">
        <v>265</v>
      </c>
      <c r="K79" s="55">
        <v>265</v>
      </c>
      <c r="L79" s="56">
        <v>0</v>
      </c>
      <c r="M79" s="55">
        <v>2497</v>
      </c>
      <c r="N79" s="55">
        <v>940</v>
      </c>
      <c r="O79" s="55">
        <v>3596</v>
      </c>
      <c r="P79" s="55">
        <v>777</v>
      </c>
      <c r="Q79" s="55"/>
      <c r="R79" s="55"/>
      <c r="S79" s="55"/>
      <c r="T79" s="55"/>
      <c r="U79" s="55"/>
      <c r="V79" s="55"/>
    </row>
    <row r="80" spans="1:22" s="40" customFormat="1" ht="13.5" customHeight="1" x14ac:dyDescent="0.3">
      <c r="A80" s="6" t="s">
        <v>158</v>
      </c>
      <c r="B80" s="6" t="s">
        <v>110</v>
      </c>
      <c r="C80" s="11" t="s">
        <v>181</v>
      </c>
      <c r="D80" s="8" t="s">
        <v>182</v>
      </c>
      <c r="E80" s="6" t="s">
        <v>10</v>
      </c>
      <c r="F80" s="10" t="s">
        <v>161</v>
      </c>
      <c r="G80" s="57">
        <v>0.876</v>
      </c>
      <c r="H80" s="57">
        <v>0.876</v>
      </c>
      <c r="I80" s="57">
        <v>0.876</v>
      </c>
      <c r="J80" s="57">
        <v>0.876</v>
      </c>
      <c r="K80" s="57">
        <v>0.876</v>
      </c>
      <c r="L80" s="58">
        <v>0.85199999999999998</v>
      </c>
      <c r="M80" s="57">
        <v>0.875</v>
      </c>
      <c r="N80" s="57">
        <v>0.876</v>
      </c>
      <c r="O80" s="57">
        <v>0.875</v>
      </c>
      <c r="P80" s="57">
        <v>0.875</v>
      </c>
      <c r="Q80" s="57"/>
      <c r="R80" s="57"/>
      <c r="S80" s="57"/>
      <c r="T80" s="57"/>
      <c r="U80" s="57"/>
      <c r="V80" s="57"/>
    </row>
    <row r="81" spans="1:22" ht="13.5" customHeight="1" x14ac:dyDescent="0.3">
      <c r="A81" s="6" t="s">
        <v>158</v>
      </c>
      <c r="B81" s="6" t="s">
        <v>7</v>
      </c>
      <c r="C81" s="11" t="s">
        <v>183</v>
      </c>
      <c r="D81" s="8" t="s">
        <v>184</v>
      </c>
      <c r="E81" s="6" t="s">
        <v>10</v>
      </c>
      <c r="F81" s="10" t="s">
        <v>133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spans="1:22" x14ac:dyDescent="0.3">
      <c r="A82" s="6" t="s">
        <v>158</v>
      </c>
      <c r="B82" s="6" t="s">
        <v>7</v>
      </c>
      <c r="C82" s="11" t="s">
        <v>185</v>
      </c>
      <c r="D82" s="8" t="s">
        <v>186</v>
      </c>
      <c r="E82" s="6" t="s">
        <v>10</v>
      </c>
      <c r="F82" s="10" t="s">
        <v>133</v>
      </c>
      <c r="G82" s="9">
        <v>485375</v>
      </c>
      <c r="H82" s="9">
        <v>485375</v>
      </c>
      <c r="I82" s="9">
        <v>485375</v>
      </c>
      <c r="J82" s="9">
        <v>485375</v>
      </c>
      <c r="K82" s="9">
        <v>485375</v>
      </c>
      <c r="L82" s="9">
        <v>478796</v>
      </c>
      <c r="M82" s="9">
        <v>475503</v>
      </c>
      <c r="N82" s="9">
        <v>488692</v>
      </c>
      <c r="O82" s="9">
        <v>484142</v>
      </c>
      <c r="P82" s="9">
        <v>476951</v>
      </c>
      <c r="Q82" s="9"/>
      <c r="R82" s="9"/>
      <c r="S82" s="9"/>
      <c r="T82" s="9"/>
      <c r="U82" s="9"/>
      <c r="V82" s="9"/>
    </row>
    <row r="83" spans="1:22" x14ac:dyDescent="0.3">
      <c r="A83" s="6" t="s">
        <v>158</v>
      </c>
      <c r="B83" s="6" t="s">
        <v>7</v>
      </c>
      <c r="C83" s="11" t="s">
        <v>187</v>
      </c>
      <c r="D83" s="8" t="s">
        <v>139</v>
      </c>
      <c r="E83" s="28">
        <v>1</v>
      </c>
      <c r="F83" s="10" t="s">
        <v>133</v>
      </c>
      <c r="G83" s="59">
        <v>1</v>
      </c>
      <c r="H83" s="59">
        <v>1</v>
      </c>
      <c r="I83" s="59">
        <v>1</v>
      </c>
      <c r="J83" s="59">
        <v>1</v>
      </c>
      <c r="K83" s="59">
        <v>1</v>
      </c>
      <c r="L83" s="60">
        <v>1</v>
      </c>
      <c r="M83" s="60">
        <v>1</v>
      </c>
      <c r="N83" s="60">
        <v>1</v>
      </c>
      <c r="O83" s="60">
        <v>1</v>
      </c>
      <c r="P83" s="61">
        <v>1</v>
      </c>
      <c r="Q83" s="29"/>
      <c r="R83" s="29"/>
      <c r="S83" s="29"/>
      <c r="T83" s="29"/>
      <c r="U83" s="29"/>
      <c r="V83" s="29"/>
    </row>
    <row r="84" spans="1:22" x14ac:dyDescent="0.3">
      <c r="A84" s="6" t="s">
        <v>158</v>
      </c>
      <c r="B84" s="6" t="s">
        <v>7</v>
      </c>
      <c r="C84" s="11" t="s">
        <v>148</v>
      </c>
      <c r="D84" s="8" t="s">
        <v>37</v>
      </c>
      <c r="E84" s="6" t="s">
        <v>10</v>
      </c>
      <c r="F84" s="10" t="s">
        <v>161</v>
      </c>
      <c r="G84" s="62">
        <v>0.71</v>
      </c>
      <c r="H84" s="62">
        <v>0.71</v>
      </c>
      <c r="I84" s="62">
        <v>0.71</v>
      </c>
      <c r="J84" s="62">
        <v>0.71</v>
      </c>
      <c r="K84" s="62">
        <v>0.71</v>
      </c>
      <c r="L84" s="62">
        <v>0.71</v>
      </c>
      <c r="M84" s="62">
        <v>1.1499999999999999</v>
      </c>
      <c r="N84" s="62">
        <v>3.07</v>
      </c>
      <c r="O84" s="62">
        <v>3.19</v>
      </c>
      <c r="P84" s="62">
        <v>3.19</v>
      </c>
      <c r="Q84" s="62"/>
      <c r="R84" s="62"/>
      <c r="S84" s="62"/>
      <c r="T84" s="62"/>
      <c r="U84" s="62"/>
      <c r="V84" s="62"/>
    </row>
    <row r="85" spans="1:22" x14ac:dyDescent="0.3">
      <c r="A85" s="6" t="s">
        <v>158</v>
      </c>
      <c r="B85" s="6" t="s">
        <v>7</v>
      </c>
      <c r="C85" s="11" t="s">
        <v>38</v>
      </c>
      <c r="D85" s="8" t="s">
        <v>149</v>
      </c>
      <c r="E85" s="6" t="s">
        <v>10</v>
      </c>
      <c r="F85" s="10" t="s">
        <v>161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63"/>
      <c r="R85" s="63"/>
      <c r="S85" s="63"/>
      <c r="T85" s="63"/>
      <c r="U85" s="63"/>
      <c r="V85" s="63"/>
    </row>
    <row r="86" spans="1:22" x14ac:dyDescent="0.3">
      <c r="A86" s="6" t="s">
        <v>188</v>
      </c>
      <c r="B86" s="6" t="s">
        <v>85</v>
      </c>
      <c r="C86" s="11" t="s">
        <v>189</v>
      </c>
      <c r="D86" s="8" t="s">
        <v>189</v>
      </c>
      <c r="E86" s="6" t="s">
        <v>10</v>
      </c>
      <c r="F86" s="10" t="s">
        <v>161</v>
      </c>
      <c r="G86" s="9">
        <v>12</v>
      </c>
      <c r="H86" s="9">
        <v>12</v>
      </c>
      <c r="I86" s="9">
        <v>12</v>
      </c>
      <c r="J86" s="9">
        <v>12</v>
      </c>
      <c r="K86" s="9">
        <v>12</v>
      </c>
      <c r="L86" s="51">
        <v>1</v>
      </c>
      <c r="M86" s="9">
        <v>5</v>
      </c>
      <c r="N86" s="9">
        <v>5</v>
      </c>
      <c r="O86" s="9">
        <v>4</v>
      </c>
      <c r="P86" s="9">
        <v>8</v>
      </c>
      <c r="Q86" s="9"/>
      <c r="R86" s="9"/>
      <c r="S86" s="9"/>
      <c r="T86" s="9"/>
      <c r="U86" s="9"/>
      <c r="V86" s="9"/>
    </row>
    <row r="87" spans="1:22" x14ac:dyDescent="0.3">
      <c r="A87" s="6" t="s">
        <v>188</v>
      </c>
      <c r="B87" s="6" t="s">
        <v>85</v>
      </c>
      <c r="C87" s="11" t="s">
        <v>190</v>
      </c>
      <c r="D87" s="8" t="s">
        <v>190</v>
      </c>
      <c r="E87" s="6" t="s">
        <v>10</v>
      </c>
      <c r="F87" s="10" t="s">
        <v>161</v>
      </c>
      <c r="G87" s="9">
        <v>7</v>
      </c>
      <c r="H87" s="9">
        <v>7</v>
      </c>
      <c r="I87" s="9">
        <v>7</v>
      </c>
      <c r="J87" s="9">
        <v>7</v>
      </c>
      <c r="K87" s="9">
        <v>7</v>
      </c>
      <c r="L87" s="51">
        <v>1</v>
      </c>
      <c r="M87" s="9">
        <v>1</v>
      </c>
      <c r="N87" s="9">
        <v>2</v>
      </c>
      <c r="O87" s="9">
        <v>3</v>
      </c>
      <c r="P87" s="9">
        <v>2</v>
      </c>
      <c r="Q87" s="9"/>
      <c r="R87" s="9"/>
      <c r="S87" s="9"/>
      <c r="T87" s="9"/>
      <c r="U87" s="9"/>
      <c r="V87" s="9"/>
    </row>
    <row r="88" spans="1:22" x14ac:dyDescent="0.3">
      <c r="A88" s="6" t="s">
        <v>188</v>
      </c>
      <c r="B88" s="6" t="s">
        <v>85</v>
      </c>
      <c r="C88" s="11" t="s">
        <v>191</v>
      </c>
      <c r="D88" s="8" t="s">
        <v>191</v>
      </c>
      <c r="E88" s="6" t="s">
        <v>10</v>
      </c>
      <c r="F88" s="10" t="s">
        <v>161</v>
      </c>
      <c r="G88" s="9">
        <v>13</v>
      </c>
      <c r="H88" s="9">
        <v>13</v>
      </c>
      <c r="I88" s="9">
        <v>13</v>
      </c>
      <c r="J88" s="9">
        <v>13</v>
      </c>
      <c r="K88" s="9">
        <v>13</v>
      </c>
      <c r="L88" s="51">
        <v>11</v>
      </c>
      <c r="M88" s="9">
        <v>3</v>
      </c>
      <c r="N88" s="9">
        <v>3</v>
      </c>
      <c r="O88" s="9">
        <v>3</v>
      </c>
      <c r="P88" s="9">
        <v>6</v>
      </c>
      <c r="Q88" s="9"/>
      <c r="R88" s="9"/>
      <c r="S88" s="9"/>
      <c r="T88" s="9"/>
      <c r="U88" s="9"/>
      <c r="V88" s="9"/>
    </row>
    <row r="89" spans="1:22" x14ac:dyDescent="0.3">
      <c r="A89" s="6" t="s">
        <v>158</v>
      </c>
      <c r="B89" s="6" t="s">
        <v>85</v>
      </c>
      <c r="C89" s="11" t="s">
        <v>192</v>
      </c>
      <c r="D89" s="64" t="s">
        <v>193</v>
      </c>
      <c r="E89" s="6" t="s">
        <v>10</v>
      </c>
      <c r="F89" s="10" t="s">
        <v>161</v>
      </c>
      <c r="G89" s="9">
        <v>53</v>
      </c>
      <c r="H89" s="9">
        <v>53</v>
      </c>
      <c r="I89" s="9">
        <v>53</v>
      </c>
      <c r="J89" s="9">
        <v>53</v>
      </c>
      <c r="K89" s="9">
        <v>53</v>
      </c>
      <c r="L89" s="65">
        <v>22</v>
      </c>
      <c r="M89" s="9">
        <v>14</v>
      </c>
      <c r="N89" s="9">
        <v>32</v>
      </c>
      <c r="O89" s="9">
        <v>17</v>
      </c>
      <c r="P89" s="9">
        <v>34</v>
      </c>
      <c r="Q89" s="9"/>
      <c r="R89" s="9"/>
      <c r="S89" s="9"/>
      <c r="T89" s="9"/>
      <c r="U89" s="9"/>
      <c r="V89" s="9"/>
    </row>
    <row r="90" spans="1:22" x14ac:dyDescent="0.3">
      <c r="A90" s="6" t="s">
        <v>158</v>
      </c>
      <c r="B90" s="6" t="s">
        <v>85</v>
      </c>
      <c r="C90" s="11" t="s">
        <v>194</v>
      </c>
      <c r="D90" s="64" t="s">
        <v>195</v>
      </c>
      <c r="E90" s="6" t="s">
        <v>10</v>
      </c>
      <c r="F90" s="10" t="s">
        <v>161</v>
      </c>
      <c r="G90" s="9">
        <v>84</v>
      </c>
      <c r="H90" s="9">
        <v>84</v>
      </c>
      <c r="I90" s="9">
        <v>84</v>
      </c>
      <c r="J90" s="9">
        <v>84</v>
      </c>
      <c r="K90" s="9">
        <v>84</v>
      </c>
      <c r="L90" s="51">
        <v>27</v>
      </c>
      <c r="M90" s="9">
        <v>29</v>
      </c>
      <c r="N90" s="9">
        <v>62</v>
      </c>
      <c r="O90" s="9">
        <v>29</v>
      </c>
      <c r="P90" s="9">
        <v>59</v>
      </c>
      <c r="Q90" s="9"/>
      <c r="R90" s="9"/>
      <c r="S90" s="9"/>
      <c r="T90" s="9"/>
      <c r="U90" s="9"/>
      <c r="V90" s="9"/>
    </row>
    <row r="91" spans="1:22" x14ac:dyDescent="0.3">
      <c r="A91" s="6" t="s">
        <v>158</v>
      </c>
      <c r="B91" s="6" t="s">
        <v>85</v>
      </c>
      <c r="C91" s="11" t="s">
        <v>196</v>
      </c>
      <c r="D91" s="8" t="s">
        <v>197</v>
      </c>
      <c r="E91" s="41" t="s">
        <v>101</v>
      </c>
      <c r="F91" s="10" t="s">
        <v>161</v>
      </c>
      <c r="G91" s="29">
        <v>1</v>
      </c>
      <c r="H91" s="29">
        <v>1</v>
      </c>
      <c r="I91" s="29">
        <v>1</v>
      </c>
      <c r="J91" s="29">
        <v>1</v>
      </c>
      <c r="K91" s="29">
        <v>1</v>
      </c>
      <c r="L91" s="66">
        <v>1</v>
      </c>
      <c r="M91" s="29">
        <v>1</v>
      </c>
      <c r="N91" s="29">
        <v>1</v>
      </c>
      <c r="O91" s="29">
        <v>1</v>
      </c>
      <c r="P91" s="29">
        <v>1</v>
      </c>
      <c r="Q91" s="19"/>
      <c r="R91" s="19"/>
      <c r="S91" s="19"/>
      <c r="T91" s="19"/>
      <c r="U91" s="19"/>
      <c r="V91" s="19"/>
    </row>
    <row r="92" spans="1:22" s="40" customFormat="1" x14ac:dyDescent="0.3">
      <c r="A92" s="6" t="s">
        <v>158</v>
      </c>
      <c r="B92" s="6" t="s">
        <v>198</v>
      </c>
      <c r="C92" s="11" t="s">
        <v>199</v>
      </c>
      <c r="D92" s="8" t="s">
        <v>200</v>
      </c>
      <c r="E92" s="6" t="s">
        <v>10</v>
      </c>
      <c r="F92" s="10" t="s">
        <v>161</v>
      </c>
      <c r="G92" s="67">
        <v>2</v>
      </c>
      <c r="H92" s="67">
        <v>2</v>
      </c>
      <c r="I92" s="67">
        <v>2</v>
      </c>
      <c r="J92" s="67">
        <v>2</v>
      </c>
      <c r="K92" s="67">
        <v>2</v>
      </c>
      <c r="L92" s="68">
        <v>0</v>
      </c>
      <c r="M92" s="67">
        <v>0</v>
      </c>
      <c r="N92" s="67">
        <v>3</v>
      </c>
      <c r="O92" s="67">
        <v>2</v>
      </c>
      <c r="P92" s="67">
        <v>0</v>
      </c>
      <c r="Q92" s="67"/>
      <c r="R92" s="67"/>
      <c r="S92" s="67"/>
      <c r="T92" s="67"/>
      <c r="U92" s="67"/>
      <c r="V92" s="67"/>
    </row>
    <row r="93" spans="1:22" x14ac:dyDescent="0.3">
      <c r="A93" s="6" t="s">
        <v>158</v>
      </c>
      <c r="B93" s="6" t="s">
        <v>198</v>
      </c>
      <c r="C93" s="11" t="s">
        <v>201</v>
      </c>
      <c r="D93" s="52" t="s">
        <v>167</v>
      </c>
      <c r="E93" s="41" t="s">
        <v>168</v>
      </c>
      <c r="F93" s="10" t="s">
        <v>161</v>
      </c>
      <c r="G93" s="29">
        <v>1</v>
      </c>
      <c r="H93" s="29">
        <v>1</v>
      </c>
      <c r="I93" s="29">
        <v>1</v>
      </c>
      <c r="J93" s="29">
        <v>1</v>
      </c>
      <c r="K93" s="29">
        <v>1</v>
      </c>
      <c r="L93" s="66">
        <v>1</v>
      </c>
      <c r="M93" s="29">
        <v>1</v>
      </c>
      <c r="N93" s="29">
        <v>1</v>
      </c>
      <c r="O93" s="29">
        <v>1</v>
      </c>
      <c r="P93" s="29">
        <v>1</v>
      </c>
      <c r="Q93" s="19"/>
      <c r="R93" s="19"/>
      <c r="S93" s="19"/>
      <c r="T93" s="19"/>
      <c r="U93" s="19"/>
      <c r="V93" s="19"/>
    </row>
    <row r="94" spans="1:22" x14ac:dyDescent="0.3">
      <c r="A94" s="6" t="s">
        <v>158</v>
      </c>
      <c r="B94" s="6" t="s">
        <v>202</v>
      </c>
      <c r="C94" s="11" t="s">
        <v>203</v>
      </c>
      <c r="D94" s="8" t="s">
        <v>204</v>
      </c>
      <c r="E94" s="6" t="s">
        <v>10</v>
      </c>
      <c r="F94" s="10" t="s">
        <v>161</v>
      </c>
      <c r="G94" s="9">
        <v>1</v>
      </c>
      <c r="H94" s="9">
        <v>1</v>
      </c>
      <c r="I94" s="9">
        <v>1</v>
      </c>
      <c r="J94" s="9">
        <v>1</v>
      </c>
      <c r="K94" s="9">
        <v>1</v>
      </c>
      <c r="L94" s="51">
        <v>1</v>
      </c>
      <c r="M94" s="9">
        <v>5</v>
      </c>
      <c r="N94" s="9">
        <v>2</v>
      </c>
      <c r="O94" s="9">
        <v>7</v>
      </c>
      <c r="P94" s="9">
        <v>3</v>
      </c>
      <c r="Q94" s="9"/>
      <c r="R94" s="9"/>
      <c r="S94" s="9"/>
      <c r="T94" s="9"/>
      <c r="U94" s="9"/>
      <c r="V94" s="9"/>
    </row>
    <row r="95" spans="1:22" x14ac:dyDescent="0.3">
      <c r="A95" s="6" t="s">
        <v>158</v>
      </c>
      <c r="B95" s="6" t="s">
        <v>202</v>
      </c>
      <c r="C95" s="11" t="s">
        <v>205</v>
      </c>
      <c r="D95" s="8" t="s">
        <v>206</v>
      </c>
      <c r="E95" s="6" t="s">
        <v>10</v>
      </c>
      <c r="F95" s="10" t="s">
        <v>161</v>
      </c>
      <c r="G95" s="43">
        <v>1</v>
      </c>
      <c r="H95" s="43">
        <v>1</v>
      </c>
      <c r="I95" s="43">
        <v>1</v>
      </c>
      <c r="J95" s="43">
        <v>1</v>
      </c>
      <c r="K95" s="43">
        <v>1</v>
      </c>
      <c r="L95" s="69">
        <v>1</v>
      </c>
      <c r="M95" s="45">
        <v>5</v>
      </c>
      <c r="N95" s="45">
        <v>2</v>
      </c>
      <c r="O95" s="45">
        <v>7</v>
      </c>
      <c r="P95" s="46">
        <v>3</v>
      </c>
      <c r="Q95" s="9"/>
      <c r="R95" s="9"/>
      <c r="S95" s="9"/>
      <c r="T95" s="9"/>
      <c r="U95" s="9"/>
      <c r="V95" s="9"/>
    </row>
    <row r="96" spans="1:22" x14ac:dyDescent="0.3">
      <c r="A96" s="6" t="s">
        <v>158</v>
      </c>
      <c r="B96" s="6" t="s">
        <v>202</v>
      </c>
      <c r="C96" s="11" t="s">
        <v>207</v>
      </c>
      <c r="D96" s="8" t="s">
        <v>208</v>
      </c>
      <c r="E96" s="6" t="s">
        <v>10</v>
      </c>
      <c r="F96" s="10" t="s">
        <v>161</v>
      </c>
      <c r="G96" s="9">
        <v>1</v>
      </c>
      <c r="H96" s="9">
        <v>1</v>
      </c>
      <c r="I96" s="9">
        <v>1</v>
      </c>
      <c r="J96" s="9">
        <v>1</v>
      </c>
      <c r="K96" s="9">
        <v>1</v>
      </c>
      <c r="L96" s="51">
        <v>1</v>
      </c>
      <c r="M96" s="9">
        <v>5</v>
      </c>
      <c r="N96" s="9">
        <v>2</v>
      </c>
      <c r="O96" s="9">
        <v>7</v>
      </c>
      <c r="P96" s="9">
        <v>3</v>
      </c>
      <c r="Q96" s="9"/>
      <c r="R96" s="9"/>
      <c r="S96" s="9"/>
      <c r="T96" s="9"/>
      <c r="U96" s="9"/>
      <c r="V96" s="9"/>
    </row>
    <row r="97" spans="1:22" x14ac:dyDescent="0.3">
      <c r="A97" s="7" t="s">
        <v>158</v>
      </c>
      <c r="B97" s="7" t="s">
        <v>202</v>
      </c>
      <c r="C97" s="13" t="s">
        <v>209</v>
      </c>
      <c r="D97" s="14" t="s">
        <v>210</v>
      </c>
      <c r="E97" s="70" t="s">
        <v>168</v>
      </c>
      <c r="F97" s="17" t="s">
        <v>161</v>
      </c>
      <c r="G97" s="71">
        <v>1</v>
      </c>
      <c r="H97" s="71">
        <v>1</v>
      </c>
      <c r="I97" s="71">
        <v>1</v>
      </c>
      <c r="J97" s="71">
        <v>1</v>
      </c>
      <c r="K97" s="71">
        <v>1</v>
      </c>
      <c r="L97" s="72">
        <v>1</v>
      </c>
      <c r="M97" s="71">
        <v>1</v>
      </c>
      <c r="N97" s="71">
        <v>1</v>
      </c>
      <c r="O97" s="71">
        <v>1</v>
      </c>
      <c r="P97" s="71">
        <v>1</v>
      </c>
      <c r="Q97" s="71"/>
      <c r="R97" s="71"/>
      <c r="S97" s="71"/>
      <c r="T97" s="71"/>
      <c r="U97" s="71"/>
      <c r="V97" s="71"/>
    </row>
    <row r="98" spans="1:22" s="10" customFormat="1" x14ac:dyDescent="0.3">
      <c r="A98" s="8"/>
      <c r="B98" s="8"/>
      <c r="C98" s="8"/>
      <c r="E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spans="1:22" s="10" customFormat="1" x14ac:dyDescent="0.3">
      <c r="A99" s="8"/>
      <c r="B99" s="8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spans="1:22" s="10" customFormat="1" x14ac:dyDescent="0.3">
      <c r="A100" s="8"/>
      <c r="B100" s="8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spans="1:22" s="10" customFormat="1" x14ac:dyDescent="0.3">
      <c r="A101" s="8"/>
      <c r="B101" s="8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spans="1:22" s="10" customFormat="1" x14ac:dyDescent="0.3">
      <c r="A102" s="8"/>
      <c r="B102" s="8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spans="1:22" s="10" customFormat="1" x14ac:dyDescent="0.3">
      <c r="A103" s="8"/>
      <c r="B103" s="8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6" spans="1:22" x14ac:dyDescent="0.3">
      <c r="G106" s="75"/>
      <c r="H106" s="75"/>
      <c r="I106" s="75"/>
      <c r="J106" s="75"/>
      <c r="K106" s="75"/>
    </row>
    <row r="108" spans="1:22" x14ac:dyDescent="0.3">
      <c r="L108" s="76"/>
    </row>
    <row r="116" spans="3:5" ht="15.5" x14ac:dyDescent="0.3">
      <c r="C116" s="77"/>
      <c r="D116" s="77"/>
      <c r="E116" s="77"/>
    </row>
    <row r="117" spans="3:5" x14ac:dyDescent="0.3">
      <c r="C117" s="78"/>
      <c r="D117" s="74"/>
    </row>
    <row r="118" spans="3:5" x14ac:dyDescent="0.3">
      <c r="C118" s="78"/>
      <c r="D118" s="74"/>
    </row>
    <row r="119" spans="3:5" x14ac:dyDescent="0.3">
      <c r="C119" s="78"/>
      <c r="D119" s="74"/>
    </row>
    <row r="120" spans="3:5" x14ac:dyDescent="0.3">
      <c r="C120" s="78"/>
      <c r="D120" s="74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2026-07-24T08:11:19Z</dcterms:created>
  <dcterms:modified xsi:type="dcterms:W3CDTF">2026-07-28T06:06:38Z</dcterms:modified>
</cp:coreProperties>
</file>
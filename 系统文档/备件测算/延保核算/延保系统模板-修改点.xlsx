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文件\系统文档\备件测算\延保核算\"/>
    </mc:Choice>
  </mc:AlternateContent>
  <xr:revisionPtr revIDLastSave="0" documentId="13_ncr:1_{373327E0-2951-46D9-ACB0-11182B7C1E38}" xr6:coauthVersionLast="47" xr6:coauthVersionMax="47" xr10:uidLastSave="{00000000-0000-0000-0000-000000000000}"/>
  <bookViews>
    <workbookView xWindow="35970" yWindow="1590" windowWidth="19200" windowHeight="12975" tabRatio="595" xr2:uid="{00000000-000D-0000-FFFF-FFFF00000000}"/>
  </bookViews>
  <sheets>
    <sheet name="核算模型" sheetId="2" r:id="rId1"/>
    <sheet name="基础数据参数1" sheetId="1" r:id="rId2"/>
    <sheet name="ASP上门成本基础数据表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2" i="3"/>
  <c r="L16" i="1" l="1"/>
</calcChain>
</file>

<file path=xl/sharedStrings.xml><?xml version="1.0" encoding="utf-8"?>
<sst xmlns="http://schemas.openxmlformats.org/spreadsheetml/2006/main" count="424" uniqueCount="226">
  <si>
    <t>部件</t>
  </si>
  <si>
    <t>主板</t>
  </si>
  <si>
    <t>机箱(硬盘背板)</t>
  </si>
  <si>
    <t>内存</t>
  </si>
  <si>
    <t>HDD</t>
  </si>
  <si>
    <t>电源</t>
  </si>
  <si>
    <t>RAID卡</t>
  </si>
  <si>
    <t>超级电容</t>
  </si>
  <si>
    <t>Riser卡</t>
  </si>
  <si>
    <t>网卡</t>
  </si>
  <si>
    <t>灵活网卡</t>
  </si>
  <si>
    <t>光模块</t>
  </si>
  <si>
    <t>AI推理卡</t>
  </si>
  <si>
    <t>其他卡</t>
  </si>
  <si>
    <t>其他部件</t>
  </si>
  <si>
    <t>SSD</t>
    <phoneticPr fontId="2" type="noConversion"/>
  </si>
  <si>
    <t>NPU载板</t>
    <phoneticPr fontId="2" type="noConversion"/>
  </si>
  <si>
    <t>NPU模组</t>
    <phoneticPr fontId="2" type="noConversion"/>
  </si>
  <si>
    <t>提升卡</t>
    <phoneticPr fontId="2" type="noConversion"/>
  </si>
  <si>
    <t>第1-3年不良率</t>
    <phoneticPr fontId="2" type="noConversion"/>
  </si>
  <si>
    <t>第4年不良率</t>
    <phoneticPr fontId="2" type="noConversion"/>
  </si>
  <si>
    <t>第5年不良率</t>
    <phoneticPr fontId="2" type="noConversion"/>
  </si>
  <si>
    <t>可维修比例</t>
    <phoneticPr fontId="2" type="noConversion"/>
  </si>
  <si>
    <t>建议设定为手工输入值</t>
    <phoneticPr fontId="2" type="noConversion"/>
  </si>
  <si>
    <t>一、鲲泰自营项目</t>
    <phoneticPr fontId="2" type="noConversion"/>
  </si>
  <si>
    <t>物料号</t>
  </si>
  <si>
    <t>69料号</t>
  </si>
  <si>
    <t>描述</t>
  </si>
  <si>
    <t>部件名称</t>
  </si>
  <si>
    <t>个数</t>
  </si>
  <si>
    <t>①输入CRM立项编号或项目名称</t>
    <phoneticPr fontId="2" type="noConversion"/>
  </si>
  <si>
    <t>③每1pcs外包库单备件管理费(元/年)</t>
    <phoneticPr fontId="2" type="noConversion"/>
  </si>
  <si>
    <t>④每1pcs外包库单备件仓储费(元/年)</t>
    <phoneticPr fontId="2" type="noConversion"/>
  </si>
  <si>
    <t>⑦维修成本占货值比例</t>
    <phoneticPr fontId="2" type="noConversion"/>
  </si>
  <si>
    <t>由①输入例如立项编号后，对接测算系统，自动导出</t>
    <phoneticPr fontId="2" type="noConversion"/>
  </si>
  <si>
    <t>根据物料号，对接不良率系统--基础数据源--69对应302物料管理</t>
    <phoneticPr fontId="2" type="noConversion"/>
  </si>
  <si>
    <t>第4年故障数</t>
    <phoneticPr fontId="2" type="noConversion"/>
  </si>
  <si>
    <t>个数*第4年不良率</t>
    <phoneticPr fontId="2" type="noConversion"/>
  </si>
  <si>
    <t>第5年故障数</t>
    <phoneticPr fontId="2" type="noConversion"/>
  </si>
  <si>
    <t>第6年不良率</t>
    <phoneticPr fontId="2" type="noConversion"/>
  </si>
  <si>
    <t>第6年故障数</t>
    <phoneticPr fontId="2" type="noConversion"/>
  </si>
  <si>
    <t>个数*第5年不良率</t>
    <phoneticPr fontId="2" type="noConversion"/>
  </si>
  <si>
    <t>个数*第6年不良率</t>
    <phoneticPr fontId="2" type="noConversion"/>
  </si>
  <si>
    <t>第7年不良率</t>
    <phoneticPr fontId="2" type="noConversion"/>
  </si>
  <si>
    <t>第7年故障数</t>
    <phoneticPr fontId="2" type="noConversion"/>
  </si>
  <si>
    <t>第8年不良率</t>
    <phoneticPr fontId="2" type="noConversion"/>
  </si>
  <si>
    <t>第8年故障数</t>
    <phoneticPr fontId="2" type="noConversion"/>
  </si>
  <si>
    <t>部件可维修占比</t>
  </si>
  <si>
    <t>周转次数</t>
  </si>
  <si>
    <t>1.参考购买的延保产品级别，如为白金＋--2H、金牌＋--4H或标准＋--ND;
2.参照基础数据参数1，比对“部件名称”与级别(2H&amp;4H&amp;ND) ，填充对应的“可维修比例”</t>
    <phoneticPr fontId="2" type="noConversion"/>
  </si>
  <si>
    <t>(第4年故障数+第5年故障数+···+第8年故障数)/周转次数</t>
    <phoneticPr fontId="2" type="noConversion"/>
  </si>
  <si>
    <t>部件成本价</t>
    <phoneticPr fontId="2" type="noConversion"/>
  </si>
  <si>
    <t>理论周转量/备货量</t>
    <phoneticPr fontId="2" type="noConversion"/>
  </si>
  <si>
    <t>部件成本价*理论周转量/备货量</t>
    <phoneticPr fontId="2" type="noConversion"/>
  </si>
  <si>
    <t>备件削价成本</t>
    <phoneticPr fontId="2" type="noConversion"/>
  </si>
  <si>
    <t>不可维修部分备件成本</t>
    <phoneticPr fontId="2" type="noConversion"/>
  </si>
  <si>
    <t>工程师上门等级</t>
  </si>
  <si>
    <t>ASP上门总成本</t>
  </si>
  <si>
    <t>工程师单次上门成本</t>
    <phoneticPr fontId="2" type="noConversion"/>
  </si>
  <si>
    <t>(第4年故障数+第5年故障数+···+第8年故障数)*工程师单次上门成本</t>
    <phoneticPr fontId="2" type="noConversion"/>
  </si>
  <si>
    <t>汇总</t>
    <phoneticPr fontId="2" type="noConversion"/>
  </si>
  <si>
    <t>1.备件成本&amp;人工成本</t>
    <phoneticPr fontId="2" type="noConversion"/>
  </si>
  <si>
    <t>2.仓储成本</t>
    <phoneticPr fontId="2" type="noConversion"/>
  </si>
  <si>
    <t>初级</t>
  </si>
  <si>
    <t>中级</t>
  </si>
  <si>
    <t>上门工程师等级</t>
    <phoneticPr fontId="2" type="noConversion"/>
  </si>
  <si>
    <t>高级</t>
    <phoneticPr fontId="2" type="noConversion"/>
  </si>
  <si>
    <t>抓取部件名称，参考基础数据参数1，比对名称匹配的上门工程师等级</t>
    <phoneticPr fontId="2" type="noConversion"/>
  </si>
  <si>
    <t>上门工程师单次上门成本</t>
    <phoneticPr fontId="2" type="noConversion"/>
  </si>
  <si>
    <t>成本项</t>
  </si>
  <si>
    <t>仓储成本</t>
  </si>
  <si>
    <t>外包库及管理成本</t>
  </si>
  <si>
    <t>单价(未税)</t>
  </si>
  <si>
    <t>次数</t>
  </si>
  <si>
    <t>未税价(元)</t>
  </si>
  <si>
    <t>汇总</t>
  </si>
  <si>
    <t>3.物流运输成本</t>
    <phoneticPr fontId="2" type="noConversion"/>
  </si>
  <si>
    <t>第4年故障数+第5年故障数+…...第8年故障数</t>
    <phoneticPr fontId="2" type="noConversion"/>
  </si>
  <si>
    <t>备件派件成本</t>
    <phoneticPr fontId="2" type="noConversion"/>
  </si>
  <si>
    <t>备件派件成本*次数</t>
    <phoneticPr fontId="2" type="noConversion"/>
  </si>
  <si>
    <t>⑤</t>
    <phoneticPr fontId="2" type="noConversion"/>
  </si>
  <si>
    <t>⑥</t>
    <phoneticPr fontId="2" type="noConversion"/>
  </si>
  <si>
    <t>故障件回收</t>
    <phoneticPr fontId="2" type="noConversion"/>
  </si>
  <si>
    <t>故障件回收 单价*次数</t>
    <phoneticPr fontId="2" type="noConversion"/>
  </si>
  <si>
    <r>
      <t>①勾选的服务含”</t>
    </r>
    <r>
      <rPr>
        <b/>
        <sz val="11"/>
        <color rgb="FFFF0000"/>
        <rFont val="等线"/>
        <family val="3"/>
        <charset val="134"/>
        <scheme val="minor"/>
      </rPr>
      <t>介质保留</t>
    </r>
    <r>
      <rPr>
        <sz val="11"/>
        <color theme="1"/>
        <rFont val="等线"/>
        <family val="2"/>
        <scheme val="minor"/>
      </rPr>
      <t>“时，以备件派件成本的次数减去部件名称为SSD与HDD对应的第4年故障数-第8年故障数；
②勾选的服务不含”介质保留“时，求和第4年故障数+第5年故障数+…...第8年故障数</t>
    </r>
    <phoneticPr fontId="2" type="noConversion"/>
  </si>
  <si>
    <t>故障件返厂维修</t>
    <phoneticPr fontId="2" type="noConversion"/>
  </si>
  <si>
    <t>故障件返厂维修 单价*次数</t>
    <phoneticPr fontId="2" type="noConversion"/>
  </si>
  <si>
    <t>求和第4年故障数+第5年故障数+…...第8年故障数</t>
    <phoneticPr fontId="2" type="noConversion"/>
  </si>
  <si>
    <t>故障件补库</t>
    <phoneticPr fontId="2" type="noConversion"/>
  </si>
  <si>
    <t>故障件补库 单价*次数</t>
    <phoneticPr fontId="2" type="noConversion"/>
  </si>
  <si>
    <t>求和</t>
    <phoneticPr fontId="2" type="noConversion"/>
  </si>
  <si>
    <t>成本汇总</t>
  </si>
  <si>
    <t>单台1年标准＋成本(未税)</t>
  </si>
  <si>
    <t>备件成本</t>
  </si>
  <si>
    <t>介质保留</t>
  </si>
  <si>
    <t>ASP上门成本</t>
  </si>
  <si>
    <t>物流运输成本</t>
  </si>
  <si>
    <t>400分摊成本</t>
  </si>
  <si>
    <t>X台1年标准＋成本(未税)</t>
    <phoneticPr fontId="2" type="noConversion"/>
  </si>
  <si>
    <t>汇总1</t>
    <phoneticPr fontId="2" type="noConversion"/>
  </si>
  <si>
    <t>汇总2</t>
    <phoneticPr fontId="2" type="noConversion"/>
  </si>
  <si>
    <t>汇总3</t>
    <phoneticPr fontId="2" type="noConversion"/>
  </si>
  <si>
    <t>汇总4</t>
    <phoneticPr fontId="2" type="noConversion"/>
  </si>
  <si>
    <r>
      <t>a.如选择的②中不含介质保留，直接取值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 xml:space="preserve">
如选择的②中含介质保留，则关于部件名称为SSD与HDD对应的“备件成本汇总列”做求和</t>
    </r>
    <phoneticPr fontId="2" type="noConversion"/>
  </si>
  <si>
    <t>按部件名称对应的为“主板”数量*5*购买延保服务年数</t>
    <phoneticPr fontId="2" type="noConversion"/>
  </si>
  <si>
    <t>左右的值/部件名称对应的为“主板”数量</t>
    <phoneticPr fontId="2" type="noConversion"/>
  </si>
  <si>
    <t>成本项</t>
    <phoneticPr fontId="2" type="noConversion"/>
  </si>
  <si>
    <t>展示原服务产品描述与服务结束时间</t>
    <phoneticPr fontId="2" type="noConversion"/>
  </si>
  <si>
    <t>302-000448</t>
  </si>
  <si>
    <t>69-001592</t>
  </si>
  <si>
    <t>服务器白金900W B版本交流电源</t>
  </si>
  <si>
    <t>302-000612</t>
  </si>
  <si>
    <t>69-001507</t>
  </si>
  <si>
    <t>硬盘1800G-SAS 12Gb/s-10K 2.5及托 XJ</t>
  </si>
  <si>
    <t>302-001003</t>
  </si>
  <si>
    <t>69-001620</t>
  </si>
  <si>
    <t>S主板 S920S00K-5221K-AF 2*(920,32C) 1711</t>
  </si>
  <si>
    <t>年均1pcs备件周转次数-标准＋</t>
    <phoneticPr fontId="2" type="noConversion"/>
  </si>
  <si>
    <t>年均1pcs备件周转次数-金牌</t>
    <phoneticPr fontId="2" type="noConversion"/>
  </si>
  <si>
    <t>年均1pcs备件周转次数-白金</t>
    <phoneticPr fontId="2" type="noConversion"/>
  </si>
  <si>
    <t>第6年不良率</t>
  </si>
  <si>
    <t>第7年不良率</t>
  </si>
  <si>
    <t>第8年不良率</t>
  </si>
  <si>
    <t xml:space="preserve">1.对接信创报价系统--服务器配件管理，以69料号匹配区域主管报价，如报价为1016.32，最终填充价格需为1016.32/1.13的值
2.报价系统无法匹配到时，由物料号，对接sap系统移交价；
</t>
    <phoneticPr fontId="2" type="noConversion"/>
  </si>
  <si>
    <t>查看标黄“原服务产品年限与级别”为几年服务，以及购买的延保服务产品级别，如
①原项目服务产品为3年，客户需求购买2年延保服务，且核算日期早于服务产品结束日期，第4年不良率参考基础数据参数1-第4年不良率，第5年不良率参考基础数据参数1-第5年不良率；
②原项目服务产品为3年，但核算日期晚于服务产品结束日期，如核算日期为2026/1/5，但原项目(3年标准＋服务)于2024/12/13结束服务，相差12多月，参考基础数据参数1-第5年不良率，第4年不良率值为0</t>
    <phoneticPr fontId="2" type="noConversion"/>
  </si>
  <si>
    <r>
      <t>求和第4年故障数+第5年故障数+…...第8年故障数减去对应所有</t>
    </r>
    <r>
      <rPr>
        <b/>
        <sz val="11"/>
        <color rgb="FFFF0000"/>
        <rFont val="等线"/>
        <family val="3"/>
        <charset val="134"/>
        <scheme val="minor"/>
      </rPr>
      <t>部件可维修占比</t>
    </r>
    <r>
      <rPr>
        <sz val="11"/>
        <color theme="1"/>
        <rFont val="等线"/>
        <family val="2"/>
        <scheme val="minor"/>
      </rPr>
      <t>为0的第4年故障数+第5年故障数+…...第8年故障数</t>
    </r>
    <phoneticPr fontId="2" type="noConversion"/>
  </si>
  <si>
    <t>抓取备件测算系统--基础数据--各库区库存，单外包库每月成本为849元，计算除武汉、待定、武汉项目外的库存地数量，如分别为35与10000，即计算方法为849*35/10000，</t>
    <phoneticPr fontId="2" type="noConversion"/>
  </si>
  <si>
    <t>查看标黄“原服务产品年限与级别”为几年服务，以及购买的延保服务产品级别，
如①原项目服务产品为5年，且核算日期早于服务产品结束日期，可直接参考基础数据参数1-第6年不良率；
②原项目服务产品为3年，客购买3年延保服务，但核算日期晚于服务产品结束日期，如核算日期为2026/1/5，但原项目(3年标准＋服务)于2023/3/13结束服务，核算日期早于服务结束日期，参考基础数据参数1-第6年不良率，第4-5年不良率值为0，第7-8年参考基础数据参数1</t>
    <phoneticPr fontId="2" type="noConversion"/>
  </si>
  <si>
    <r>
      <t xml:space="preserve">1.查看标黄“原服务产品年限与级别”为几年服务，以及购买的延保服务产品级别，如①项目原服务产品为3年，且核算日期早于服务产品结束日期，可直接参考基础数据参数1-第4年不良率；②原项目服务产品为3年，但核算日期晚于服务产品结束日期，如核算日期为2025/2/28，但原项目于2024/12/13结束服务，相差2多月，参考基础数据参数1-第4年不良率   </t>
    </r>
    <r>
      <rPr>
        <b/>
        <sz val="11"/>
        <color rgb="FFFF0000"/>
        <rFont val="等线"/>
        <family val="3"/>
        <charset val="134"/>
        <scheme val="minor"/>
      </rPr>
      <t>以超期6个月为上限，如核算日期减产品结束日期小于6个月，则按第4年不良率填充，如核算日期减产品结束日期大于6个月，则按第5年不良率填充</t>
    </r>
    <r>
      <rPr>
        <b/>
        <sz val="11"/>
        <color theme="1"/>
        <rFont val="等线"/>
        <family val="3"/>
        <charset val="134"/>
        <scheme val="minor"/>
      </rPr>
      <t>，第4年值为0</t>
    </r>
    <phoneticPr fontId="2" type="noConversion"/>
  </si>
  <si>
    <t>根据物料号，对接不良率系统--基础数据源--BOM组件部件名称与供应商名录</t>
    <phoneticPr fontId="2" type="noConversion"/>
  </si>
  <si>
    <t>参照基础数据参数1，比对“部件名称”，填充对应的“可维修比例”
2.部件可维修占比为0时，对应的“不可维修部分备件成本”直接填充零值</t>
    <phoneticPr fontId="2" type="noConversion"/>
  </si>
  <si>
    <r>
      <t>(每1pcs外包库单备件管理费(元/年)+每1pcs外包库单备件仓储费(元/年))*</t>
    </r>
    <r>
      <rPr>
        <b/>
        <sz val="11"/>
        <color rgb="FFFF0000"/>
        <rFont val="等线"/>
        <family val="3"/>
        <charset val="134"/>
        <scheme val="minor"/>
      </rPr>
      <t>理论周转量/备货量</t>
    </r>
    <phoneticPr fontId="2" type="noConversion"/>
  </si>
  <si>
    <t>修改：</t>
    <phoneticPr fontId="2" type="noConversion"/>
  </si>
  <si>
    <t>说明</t>
    <phoneticPr fontId="2" type="noConversion"/>
  </si>
  <si>
    <t>手工填写</t>
    <phoneticPr fontId="2" type="noConversion"/>
  </si>
  <si>
    <t>备件成本汇总列</t>
    <phoneticPr fontId="2" type="noConversion"/>
  </si>
  <si>
    <t>if备件削价成本&gt;=(维修费成本+不可维修部分备件成本),则备件成本=备件削价成本;
if备件削价成本&lt;(维修费成本+不可维修部分备件成本),则备件成本=(维修费成本+不可维修部分备件成本);</t>
    <phoneticPr fontId="2" type="noConversion"/>
  </si>
  <si>
    <t>基础数据中的“ASP上门总成本”修改为“ASP维保上门总成本”</t>
    <phoneticPr fontId="2" type="noConversion"/>
  </si>
  <si>
    <t>基础数据中的“理论周转量/备货量”修改为“理论周转量（备货量）</t>
    <phoneticPr fontId="2" type="noConversion"/>
  </si>
  <si>
    <t>“剩余可维修数”修改为“可维修件数”</t>
    <phoneticPr fontId="2" type="noConversion"/>
  </si>
  <si>
    <t>“剩余不可维修数”修改为“不可维修数”</t>
    <phoneticPr fontId="2" type="noConversion"/>
  </si>
  <si>
    <t>“可维修成本”修改为“维修费成本”</t>
    <phoneticPr fontId="2" type="noConversion"/>
  </si>
  <si>
    <t>备件成本汇总列的取值计算方法调整</t>
    <phoneticPr fontId="2" type="noConversion"/>
  </si>
  <si>
    <t>2、局点所在地址距离省会城市的距离（公里）（直辖市直接填写到市中心的距离</t>
    <phoneticPr fontId="2" type="noConversion"/>
  </si>
  <si>
    <t>上门时效</t>
    <phoneticPr fontId="2" type="noConversion"/>
  </si>
  <si>
    <t>标准+</t>
    <phoneticPr fontId="2" type="noConversion"/>
  </si>
  <si>
    <t>金牌+</t>
    <phoneticPr fontId="2" type="noConversion"/>
  </si>
  <si>
    <t>白金+</t>
    <phoneticPr fontId="2" type="noConversion"/>
  </si>
  <si>
    <t>距离范围</t>
    <phoneticPr fontId="2" type="noConversion"/>
  </si>
  <si>
    <t>0~40KM</t>
    <phoneticPr fontId="2" type="noConversion"/>
  </si>
  <si>
    <t>40~80KM</t>
    <phoneticPr fontId="2" type="noConversion"/>
  </si>
  <si>
    <t>80~160KM</t>
    <phoneticPr fontId="2" type="noConversion"/>
  </si>
  <si>
    <t>160~240KM</t>
    <phoneticPr fontId="2" type="noConversion"/>
  </si>
  <si>
    <t>240~480KM</t>
    <phoneticPr fontId="2" type="noConversion"/>
  </si>
  <si>
    <t>&gt;480KM</t>
    <phoneticPr fontId="2" type="noConversion"/>
  </si>
  <si>
    <t>距离补助成本</t>
    <phoneticPr fontId="2" type="noConversion"/>
  </si>
  <si>
    <t>基础上门成本</t>
    <phoneticPr fontId="2" type="noConversion"/>
  </si>
  <si>
    <t>下拉列表选择：
0~40KM
40~80KM
80~160KM
160~240KM
240~480KM
&gt;480KM</t>
    <phoneticPr fontId="2" type="noConversion"/>
  </si>
  <si>
    <t>维护ASP上门成本基础数据表（可作为一个新页面维护）</t>
    <phoneticPr fontId="2" type="noConversion"/>
  </si>
  <si>
    <t>ASP单次上门成本合计（未税）</t>
    <phoneticPr fontId="2" type="noConversion"/>
  </si>
  <si>
    <t>备件&amp;ASP上门成本页面增加如下字段：</t>
    <phoneticPr fontId="2" type="noConversion"/>
  </si>
  <si>
    <t>ASP工程师等级</t>
    <phoneticPr fontId="2" type="noConversion"/>
  </si>
  <si>
    <t>“延保服务级别”字段取消，拆分成如下：
1）延保服务时长（年）
2）上门时效（下拉列表：标准+，金牌+，白金+）
3）硬盘介质保留服务（勾选是否）</t>
    <phoneticPr fontId="2" type="noConversion"/>
  </si>
  <si>
    <t>初级工程师</t>
    <phoneticPr fontId="2" type="noConversion"/>
  </si>
  <si>
    <t>中级工程师</t>
    <phoneticPr fontId="2" type="noConversion"/>
  </si>
  <si>
    <t>高级工程师</t>
    <phoneticPr fontId="2" type="noConversion"/>
  </si>
  <si>
    <t xml:space="preserve">3、初级工程师单次上门成本(未税）
</t>
    <phoneticPr fontId="2" type="noConversion"/>
  </si>
  <si>
    <t>4、中级工程师单次上门成本(未税）
5、高级工程师单次上门成本(未税）</t>
    <phoneticPr fontId="2" type="noConversion"/>
  </si>
  <si>
    <t xml:space="preserve">匹配如下字段从ASP上门成本基数数据表中获取“ASP单次上门成本合计（未税）”这列的值。完全匹配的ASP上门成本基础数据表中的前3列。其中：a)级别匹配”初级工程师“，b)上门时效读取 备件&amp;ASP上门成本页面的”上门时效“字段。C)距离范围读取”局点所在地址距离省会城市的距离（公里）（直辖市直接填写到市中心的距离“
</t>
    <phoneticPr fontId="2" type="noConversion"/>
  </si>
  <si>
    <t>见sheet ”ASP上门成本基数数据表“中的内容</t>
    <phoneticPr fontId="2" type="noConversion"/>
  </si>
  <si>
    <t>增加健康巡检成本页面</t>
    <phoneticPr fontId="2" type="noConversion"/>
  </si>
  <si>
    <t>年巡检次数</t>
    <phoneticPr fontId="2" type="noConversion"/>
  </si>
  <si>
    <t>根据上门时效字段判断，如果是标准+则赋值为0，如果是金牌+则赋值为2，如果是白金+则赋值为4</t>
    <phoneticPr fontId="2" type="noConversion"/>
  </si>
  <si>
    <t>增加字段：维保生效前是否上门巡检 ，勾选是否，必填项</t>
    <phoneticPr fontId="2" type="noConversion"/>
  </si>
  <si>
    <t>健康巡检次数汇总</t>
    <phoneticPr fontId="2" type="noConversion"/>
  </si>
  <si>
    <t>健康巡检成本汇总（未税）</t>
    <phoneticPr fontId="2" type="noConversion"/>
  </si>
  <si>
    <t>单次巡检成本（未税）</t>
    <phoneticPr fontId="2" type="noConversion"/>
  </si>
  <si>
    <t>健康巡检次数汇总*单次巡检成本(未税)</t>
    <phoneticPr fontId="2" type="noConversion"/>
  </si>
  <si>
    <t>成本汇总页面</t>
    <phoneticPr fontId="2" type="noConversion"/>
  </si>
  <si>
    <t>增加健康巡检成本</t>
    <phoneticPr fontId="2" type="noConversion"/>
  </si>
  <si>
    <t>6税后乘以的系数</t>
    <phoneticPr fontId="2" type="noConversion"/>
  </si>
  <si>
    <t>13税后乘以的系数</t>
    <phoneticPr fontId="2" type="noConversion"/>
  </si>
  <si>
    <t>备件成本</t>
    <phoneticPr fontId="2" type="noConversion"/>
  </si>
  <si>
    <t>硬盘介质保留</t>
    <phoneticPr fontId="2" type="noConversion"/>
  </si>
  <si>
    <t>ASP维保上门成本</t>
    <phoneticPr fontId="2" type="noConversion"/>
  </si>
  <si>
    <t>健康巡检成本</t>
    <phoneticPr fontId="2" type="noConversion"/>
  </si>
  <si>
    <t>仓储</t>
    <phoneticPr fontId="2" type="noConversion"/>
  </si>
  <si>
    <t>物流</t>
    <phoneticPr fontId="2" type="noConversion"/>
  </si>
  <si>
    <t>400分摊</t>
    <phoneticPr fontId="2" type="noConversion"/>
  </si>
  <si>
    <t>成本项列表中增加两列  6税后和13税后，税后计算规则</t>
    <phoneticPr fontId="2" type="noConversion"/>
  </si>
  <si>
    <t>1、局点地址（手工填写） 必填项</t>
    <phoneticPr fontId="2" type="noConversion"/>
  </si>
  <si>
    <t>如果维保生效前是否巡检为是，则总次数=1+年巡检次数*延保服务时长；
如果维保生效前是否巡检为否，则总次数=0+年巡检次数*延保服务时长</t>
    <phoneticPr fontId="2" type="noConversion"/>
  </si>
  <si>
    <t>页面公共字段复用备件&amp;ASP上门成本页面</t>
    <phoneticPr fontId="2" type="noConversion"/>
  </si>
  <si>
    <t>基础数据参考中的单次工程师上门成本列缺省值为空，从“备件&amp;ASP上门成本页面”去读取，或者将这列删除</t>
    <phoneticPr fontId="2" type="noConversion"/>
  </si>
  <si>
    <t>如下是字段名称的变更</t>
    <phoneticPr fontId="2" type="noConversion"/>
  </si>
  <si>
    <t>一</t>
    <phoneticPr fontId="2" type="noConversion"/>
  </si>
  <si>
    <t>单次上门成本的变更</t>
    <phoneticPr fontId="2" type="noConversion"/>
  </si>
  <si>
    <t>二</t>
    <phoneticPr fontId="2" type="noConversion"/>
  </si>
  <si>
    <t>单次上门成本与上门时效有关，与距离有关，不维护成固定值，根据项目情况判定</t>
    <phoneticPr fontId="2" type="noConversion"/>
  </si>
  <si>
    <t>如原有的计算中用到相关字段的值，请注意同步变更</t>
    <phoneticPr fontId="2" type="noConversion"/>
  </si>
  <si>
    <t>三</t>
    <phoneticPr fontId="2" type="noConversion"/>
  </si>
  <si>
    <t>类似上面的逻辑</t>
    <phoneticPr fontId="2" type="noConversion"/>
  </si>
  <si>
    <t>四</t>
    <phoneticPr fontId="2" type="noConversion"/>
  </si>
  <si>
    <t>五</t>
    <phoneticPr fontId="2" type="noConversion"/>
  </si>
  <si>
    <t>***注意*** 
“ASP上门成本基数数据”中的“工程师等级”值要和“延保核算基础数据”保持一致</t>
    <phoneticPr fontId="2" type="noConversion"/>
  </si>
  <si>
    <t>可维修件数</t>
  </si>
  <si>
    <t>可维修件数*部件成本价</t>
  </si>
  <si>
    <t>不可维修数</t>
  </si>
  <si>
    <t>1.不可维修数*部件成本价
2.部件可维修占比为0时，对应的“不可维修部分备件成本”直接填充零值</t>
  </si>
  <si>
    <t>维修费成本</t>
  </si>
  <si>
    <r>
      <rPr>
        <b/>
        <sz val="11"/>
        <color rgb="FFFF0000"/>
        <rFont val="等线"/>
        <family val="3"/>
        <charset val="134"/>
        <scheme val="minor"/>
      </rPr>
      <t>备件削价成本 &gt; (维修费成本+不可维修部分备件成本) ? 前 : 后</t>
    </r>
    <r>
      <rPr>
        <b/>
        <sz val="11"/>
        <color theme="1"/>
        <rFont val="等线"/>
        <family val="3"/>
        <charset val="134"/>
        <scheme val="minor"/>
      </rPr>
      <t xml:space="preserve">
# 备件削价成本+维修费成本+不可维修部分备件成本</t>
    </r>
    <phoneticPr fontId="2" type="noConversion"/>
  </si>
  <si>
    <t>见修改点三</t>
    <phoneticPr fontId="2" type="noConversion"/>
  </si>
  <si>
    <r>
      <t>(第4年故障数+第5年故障数+···+第</t>
    </r>
    <r>
      <rPr>
        <b/>
        <sz val="11"/>
        <color rgb="FFFF0000"/>
        <rFont val="等线"/>
        <family val="3"/>
        <charset val="134"/>
        <scheme val="minor"/>
      </rPr>
      <t>6</t>
    </r>
    <r>
      <rPr>
        <b/>
        <sz val="11"/>
        <color theme="1"/>
        <rFont val="等线"/>
        <family val="3"/>
        <charset val="134"/>
        <scheme val="minor"/>
      </rPr>
      <t>年故障数)*部件可维修占比</t>
    </r>
    <phoneticPr fontId="2" type="noConversion"/>
  </si>
  <si>
    <r>
      <t>(第4年故障数+第5年故障数+···+第</t>
    </r>
    <r>
      <rPr>
        <b/>
        <sz val="11"/>
        <color rgb="FFFF0000"/>
        <rFont val="等线"/>
        <family val="3"/>
        <charset val="134"/>
        <scheme val="minor"/>
      </rPr>
      <t>6</t>
    </r>
    <r>
      <rPr>
        <b/>
        <sz val="11"/>
        <color theme="1"/>
        <rFont val="等线"/>
        <family val="3"/>
        <charset val="134"/>
        <scheme val="minor"/>
      </rPr>
      <t xml:space="preserve">年故障数)减去可维修件数
</t>
    </r>
    <r>
      <rPr>
        <b/>
        <sz val="11"/>
        <color rgb="FFFF0000"/>
        <rFont val="等线"/>
        <family val="3"/>
        <charset val="134"/>
        <scheme val="minor"/>
      </rPr>
      <t>+(第7年故障数+第8年故障数)</t>
    </r>
    <phoneticPr fontId="2" type="noConversion"/>
  </si>
  <si>
    <t>建议设定为手工输入值--默认54</t>
    <phoneticPr fontId="2" type="noConversion"/>
  </si>
  <si>
    <t>⑤单次备件派件成本(未税)</t>
    <phoneticPr fontId="2" type="noConversion"/>
  </si>
  <si>
    <t>⑥故障件单次邮寄费(未税)</t>
    <phoneticPr fontId="2" type="noConversion"/>
  </si>
  <si>
    <t>建议设定为手工输入值--默认30</t>
    <phoneticPr fontId="2" type="noConversion"/>
  </si>
  <si>
    <t>②勾选产品级别 如a.1年标准＋ b.1年标准＋含介质保留  c.1年金牌＋d.1年金牌＋含介质保留 e.1年白金＋ f.1年白金＋含介质保留  等····   选项设置到第5年</t>
    <phoneticPr fontId="2" type="noConversion"/>
  </si>
  <si>
    <t>拆分成：延保服务时长(年)、上门时效、硬盘介质保留服务</t>
    <phoneticPr fontId="2" type="noConversion"/>
  </si>
  <si>
    <t>⑧维保生效前是否上门巡检</t>
    <phoneticPr fontId="2" type="noConversion"/>
  </si>
  <si>
    <t>⑨局点地址</t>
    <phoneticPr fontId="2" type="noConversion"/>
  </si>
  <si>
    <t>⑩局点距省会城市的距离</t>
    <phoneticPr fontId="2" type="noConversion"/>
  </si>
  <si>
    <t>核算台数</t>
    <phoneticPr fontId="2" type="noConversion"/>
  </si>
  <si>
    <t>新增需求2：</t>
    <phoneticPr fontId="2" type="noConversion"/>
  </si>
  <si>
    <r>
      <t>a.选择的②中不含介质保留服务，抓取</t>
    </r>
    <r>
      <rPr>
        <sz val="11"/>
        <color rgb="FFFF0000"/>
        <rFont val="等线"/>
        <family val="3"/>
        <charset val="134"/>
        <scheme val="minor"/>
      </rPr>
      <t>汇总1</t>
    </r>
    <r>
      <rPr>
        <sz val="11"/>
        <color theme="1"/>
        <rFont val="等线"/>
        <family val="2"/>
        <scheme val="minor"/>
      </rPr>
      <t>数值；
b.选择的②中含介质保留服务，则以</t>
    </r>
    <r>
      <rPr>
        <sz val="11"/>
        <color rgb="FFFF0000"/>
        <rFont val="等线"/>
        <family val="3"/>
        <charset val="134"/>
        <scheme val="minor"/>
      </rPr>
      <t>汇总1</t>
    </r>
    <r>
      <rPr>
        <sz val="11"/>
        <color theme="1"/>
        <rFont val="等线"/>
        <family val="2"/>
        <scheme val="minor"/>
      </rPr>
      <t>减去部件名称为SSD与HDD对应的“备件成本汇总列”对应数值之和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</si>
</sst>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_);[Red]\(\¥#,##0\)"/>
  </numFmts>
  <fonts count="1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b/>
      <sz val="11"/>
      <color theme="9" tint="0.3999755851924192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6"/>
      <color rgb="FFFFC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46">
    <xf numFmtId="0" fontId="0" fillId="0" borderId="0" xfId="0"/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9" fontId="3" fillId="0" borderId="0" xfId="1" applyFont="1" applyAlignment="1"/>
    <xf numFmtId="0" fontId="6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/>
    <xf numFmtId="0" fontId="0" fillId="0" borderId="1" xfId="0" applyBorder="1" applyAlignment="1">
      <alignment horizontal="center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10" fontId="7" fillId="0" borderId="1" xfId="1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1" fillId="0" borderId="1" xfId="0" applyFont="1" applyBorder="1"/>
    <xf numFmtId="176" fontId="10" fillId="0" borderId="1" xfId="0" applyNumberFormat="1" applyFont="1" applyBorder="1" applyAlignment="1">
      <alignment horizontal="center" vertical="center"/>
    </xf>
    <xf numFmtId="176" fontId="0" fillId="0" borderId="1" xfId="0" applyNumberFormat="1" applyBorder="1"/>
    <xf numFmtId="0" fontId="12" fillId="2" borderId="0" xfId="0" applyFont="1" applyFill="1"/>
    <xf numFmtId="0" fontId="13" fillId="2" borderId="0" xfId="0" applyFont="1" applyFill="1"/>
    <xf numFmtId="0" fontId="12" fillId="3" borderId="0" xfId="0" applyFont="1" applyFill="1"/>
    <xf numFmtId="0" fontId="13" fillId="3" borderId="0" xfId="0" applyFont="1" applyFill="1"/>
    <xf numFmtId="0" fontId="0" fillId="3" borderId="0" xfId="0" applyFill="1"/>
    <xf numFmtId="0" fontId="11" fillId="3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14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9" fillId="0" borderId="1" xfId="0" applyFont="1" applyBorder="1" applyAlignment="1">
      <alignment vertical="center" wrapText="1"/>
    </xf>
    <xf numFmtId="0" fontId="15" fillId="0" borderId="0" xfId="0" applyFont="1"/>
    <xf numFmtId="0" fontId="16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</cellXfs>
  <cellStyles count="4">
    <cellStyle name="百分比" xfId="1" builtinId="5"/>
    <cellStyle name="常规" xfId="0" builtinId="0"/>
    <cellStyle name="常规 2 4 2" xfId="2" xr:uid="{25F03140-DED7-4695-B03C-864A175DE4D3}"/>
    <cellStyle name="常规 3" xfId="3" xr:uid="{17F9C7DE-5775-4A73-9991-22B633088849}"/>
  </cellStyles>
  <dxfs count="12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6746</xdr:colOff>
      <xdr:row>91</xdr:row>
      <xdr:rowOff>19844</xdr:rowOff>
    </xdr:from>
    <xdr:to>
      <xdr:col>4</xdr:col>
      <xdr:colOff>892990</xdr:colOff>
      <xdr:row>118</xdr:row>
      <xdr:rowOff>987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24FE035-75B6-8AB9-0324-FDB22B9B1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824" y="25092422"/>
          <a:ext cx="9339682" cy="47999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4</xdr:col>
      <xdr:colOff>889419</xdr:colOff>
      <xdr:row>146</xdr:row>
      <xdr:rowOff>166087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313D459-F2A4-EFC9-5516-A500BCDF6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5078" y="30331172"/>
          <a:ext cx="9342857" cy="48095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104;&#26412;&#26680;&#31639;\&#25104;&#26412;&#32479;&#35745;\&#20445;&#22806;&#26381;&#21153;&#25104;&#26412;\&#28145;&#22323;&#24066;&#26816;&#23519;&#38498;XX&#39033;&#30446;&#24310;&#20445;1&#24180;&#26631;&#20934;+&#20171;&#36136;&#20445;&#30041;&#26680;&#31639;(&#24050;&#33258;&#21160;&#36824;&#2140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104;&#26412;&#26680;&#31639;\&#25104;&#26412;&#32479;&#35745;\&#20445;&#22806;&#26381;&#21153;&#25104;&#26412;\&#21608;&#36716;&#295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工程师上门成本"/>
      <sheetName val="深圳市检察院XX项目延保1年标准+介质保留核算(已自动还原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8786D-F880-4F4C-A567-2B33F5A97B6A}" name="表1" displayName="表1" ref="A1:M19" totalsRowShown="0">
  <autoFilter ref="A1:M19" xr:uid="{E9A8786D-F880-4F4C-A567-2B33F5A97B6A}"/>
  <tableColumns count="13">
    <tableColumn id="1" xr3:uid="{A38E09A0-3935-4639-BD20-DB7B1CEF157B}" name="部件"/>
    <tableColumn id="2" xr3:uid="{DB042181-C50C-4E2A-847C-09A7BA2F17EF}" name="年均1pcs备件周转次数-标准＋" dataDxfId="11"/>
    <tableColumn id="3" xr3:uid="{725F46A1-CA93-46F4-942E-CD083136D21A}" name="年均1pcs备件周转次数-金牌" dataDxfId="10"/>
    <tableColumn id="4" xr3:uid="{5836B81F-4033-41F0-A2A8-EA8B16F92169}" name="年均1pcs备件周转次数-白金" dataDxfId="9"/>
    <tableColumn id="5" xr3:uid="{9F86A37B-7EF4-4123-829C-0EFEC16FB65F}" name="第1-3年不良率" dataDxfId="8"/>
    <tableColumn id="6" xr3:uid="{6D514FF0-22AB-4D13-8354-A25B1640DB6C}" name="第4年不良率" dataDxfId="7"/>
    <tableColumn id="7" xr3:uid="{09C676DB-B92F-41AC-AFB6-F3D510054A82}" name="第5年不良率" dataDxfId="6"/>
    <tableColumn id="11" xr3:uid="{9A9FC2CD-92C6-433E-9AC2-0379C5F945D0}" name="第6年不良率" dataDxfId="5"/>
    <tableColumn id="12" xr3:uid="{F8AEF928-403D-4661-B63F-65BA82ABF8BB}" name="第7年不良率" dataDxfId="4"/>
    <tableColumn id="13" xr3:uid="{AF987A03-54AD-4459-A0F7-2CA22A381675}" name="第8年不良率" dataDxfId="3"/>
    <tableColumn id="8" xr3:uid="{1CCE2CFF-AEDB-4494-BD37-B31FFBACEE73}" name="可维修比例" dataDxfId="2">
      <calculatedColumnFormula>VLOOKUP(表1[[#This Row],[部件]],[2]Sheet1!$A$19:$C$33,3,0)</calculatedColumnFormula>
    </tableColumn>
    <tableColumn id="9" xr3:uid="{FD27D958-E83A-4729-A022-D3EACC1943AC}" name="上门工程师等级" dataDxfId="1">
      <calculatedColumnFormula>VLOOKUP(表1[[#This Row],[部件]],[1]!表1_468142414242[[部件名称]:[工程师上门等级]],15,0)</calculatedColumnFormula>
    </tableColumn>
    <tableColumn id="10" xr3:uid="{5C4DE286-C495-4025-837B-BEA3DD3D2475}" name="上门工程师单次上门成本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DAFC-8034-4C11-86AC-147F0D0EC9C1}">
  <dimension ref="A1:AB91"/>
  <sheetViews>
    <sheetView tabSelected="1" topLeftCell="N9" zoomScale="96" zoomScaleNormal="96" workbookViewId="0">
      <selection activeCell="F15" sqref="F15"/>
    </sheetView>
  </sheetViews>
  <sheetFormatPr defaultRowHeight="14" x14ac:dyDescent="0.3"/>
  <cols>
    <col min="1" max="1" width="41.5" customWidth="1"/>
    <col min="2" max="2" width="55.5" customWidth="1"/>
    <col min="3" max="3" width="38.6640625" customWidth="1"/>
    <col min="4" max="4" width="16.75" customWidth="1"/>
    <col min="5" max="5" width="21.08203125" customWidth="1"/>
    <col min="6" max="6" width="24.75" customWidth="1"/>
    <col min="7" max="7" width="37" customWidth="1"/>
    <col min="8" max="8" width="10.75" customWidth="1"/>
    <col min="9" max="9" width="36" customWidth="1"/>
    <col min="11" max="11" width="34.75" customWidth="1"/>
    <col min="17" max="17" width="12.08203125" customWidth="1"/>
    <col min="18" max="18" width="13.75" customWidth="1"/>
    <col min="20" max="20" width="11" bestFit="1" customWidth="1"/>
    <col min="21" max="22" width="9.08203125" bestFit="1" customWidth="1"/>
    <col min="23" max="23" width="9.83203125" bestFit="1" customWidth="1"/>
    <col min="24" max="25" width="11" bestFit="1" customWidth="1"/>
    <col min="27" max="28" width="11" bestFit="1" customWidth="1"/>
  </cols>
  <sheetData>
    <row r="1" spans="1:28" x14ac:dyDescent="0.3">
      <c r="A1" s="4" t="s">
        <v>24</v>
      </c>
      <c r="B1" s="4"/>
      <c r="C1" s="4"/>
    </row>
    <row r="2" spans="1:28" x14ac:dyDescent="0.3">
      <c r="A2" s="3" t="s">
        <v>30</v>
      </c>
      <c r="B2" s="7" t="s">
        <v>107</v>
      </c>
      <c r="D2" s="3" t="s">
        <v>220</v>
      </c>
    </row>
    <row r="3" spans="1:28" x14ac:dyDescent="0.3">
      <c r="A3" s="3" t="s">
        <v>218</v>
      </c>
      <c r="B3" s="7" t="s">
        <v>219</v>
      </c>
      <c r="C3" s="3"/>
      <c r="D3" s="3" t="s">
        <v>221</v>
      </c>
      <c r="E3" s="3"/>
      <c r="F3" s="3"/>
      <c r="G3" s="3"/>
      <c r="H3" s="3"/>
      <c r="I3" s="3"/>
      <c r="J3" s="3"/>
      <c r="K3" s="3"/>
      <c r="L3" s="3"/>
      <c r="M3" s="3"/>
      <c r="N3" s="3"/>
      <c r="O3" s="10"/>
    </row>
    <row r="4" spans="1:28" x14ac:dyDescent="0.3">
      <c r="A4" s="3" t="s">
        <v>31</v>
      </c>
      <c r="B4" s="39" t="s">
        <v>126</v>
      </c>
      <c r="C4" s="39"/>
      <c r="D4" s="3" t="s">
        <v>222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28" x14ac:dyDescent="0.3">
      <c r="A5" s="3" t="s">
        <v>32</v>
      </c>
      <c r="B5" s="7" t="s">
        <v>214</v>
      </c>
      <c r="D5" s="3" t="s">
        <v>223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28" x14ac:dyDescent="0.3">
      <c r="A6" s="3" t="s">
        <v>215</v>
      </c>
      <c r="B6" s="7" t="s">
        <v>23</v>
      </c>
      <c r="C6" s="5"/>
      <c r="D6" s="3"/>
    </row>
    <row r="7" spans="1:28" x14ac:dyDescent="0.3">
      <c r="A7" s="3" t="s">
        <v>216</v>
      </c>
      <c r="B7" s="7" t="s">
        <v>217</v>
      </c>
      <c r="C7" s="5"/>
    </row>
    <row r="8" spans="1:28" x14ac:dyDescent="0.3">
      <c r="A8" s="3" t="s">
        <v>33</v>
      </c>
      <c r="B8" s="7" t="s">
        <v>23</v>
      </c>
      <c r="C8" s="6"/>
    </row>
    <row r="9" spans="1:28" x14ac:dyDescent="0.3">
      <c r="A9" s="3"/>
      <c r="B9" s="6"/>
      <c r="C9" s="7"/>
    </row>
    <row r="10" spans="1:28" x14ac:dyDescent="0.3">
      <c r="A10" s="3"/>
      <c r="B10" s="6"/>
      <c r="C10" s="7"/>
    </row>
    <row r="11" spans="1:28" x14ac:dyDescent="0.3">
      <c r="A11" s="3"/>
      <c r="B11" s="6"/>
      <c r="C11" s="7"/>
    </row>
    <row r="12" spans="1:28" x14ac:dyDescent="0.3">
      <c r="A12" s="3"/>
      <c r="B12" s="6"/>
      <c r="C12" s="7"/>
    </row>
    <row r="13" spans="1:28" x14ac:dyDescent="0.3">
      <c r="A13" s="3" t="s">
        <v>61</v>
      </c>
    </row>
    <row r="14" spans="1:28" s="8" customFormat="1" ht="28" x14ac:dyDescent="0.3">
      <c r="A14" s="9" t="s">
        <v>25</v>
      </c>
      <c r="B14" s="9" t="s">
        <v>26</v>
      </c>
      <c r="C14" s="9" t="s">
        <v>27</v>
      </c>
      <c r="D14" s="9" t="s">
        <v>28</v>
      </c>
      <c r="E14" s="9" t="s">
        <v>29</v>
      </c>
      <c r="F14" s="9" t="s">
        <v>51</v>
      </c>
      <c r="G14" s="9" t="s">
        <v>20</v>
      </c>
      <c r="H14" s="9" t="s">
        <v>36</v>
      </c>
      <c r="I14" s="9" t="s">
        <v>21</v>
      </c>
      <c r="J14" s="9" t="s">
        <v>38</v>
      </c>
      <c r="K14" s="9" t="s">
        <v>39</v>
      </c>
      <c r="L14" s="9" t="s">
        <v>40</v>
      </c>
      <c r="M14" s="9" t="s">
        <v>43</v>
      </c>
      <c r="N14" s="9" t="s">
        <v>44</v>
      </c>
      <c r="O14" s="9" t="s">
        <v>45</v>
      </c>
      <c r="P14" s="9" t="s">
        <v>46</v>
      </c>
      <c r="Q14" s="9" t="s">
        <v>47</v>
      </c>
      <c r="R14" s="9" t="s">
        <v>48</v>
      </c>
      <c r="S14" s="9" t="s">
        <v>52</v>
      </c>
      <c r="T14" s="9" t="s">
        <v>54</v>
      </c>
      <c r="U14" s="9" t="s">
        <v>205</v>
      </c>
      <c r="V14" s="9" t="s">
        <v>207</v>
      </c>
      <c r="W14" s="9" t="s">
        <v>209</v>
      </c>
      <c r="X14" s="9" t="s">
        <v>55</v>
      </c>
      <c r="Y14" s="9" t="s">
        <v>135</v>
      </c>
      <c r="Z14" s="9" t="s">
        <v>56</v>
      </c>
      <c r="AA14" s="9" t="s">
        <v>58</v>
      </c>
      <c r="AB14" s="9" t="s">
        <v>57</v>
      </c>
    </row>
    <row r="15" spans="1:28" s="8" customFormat="1" ht="182.25" customHeight="1" x14ac:dyDescent="0.3">
      <c r="A15" s="16" t="s">
        <v>34</v>
      </c>
      <c r="B15" s="16" t="s">
        <v>35</v>
      </c>
      <c r="C15" s="16" t="s">
        <v>34</v>
      </c>
      <c r="D15" s="16" t="s">
        <v>129</v>
      </c>
      <c r="E15" s="16" t="s">
        <v>34</v>
      </c>
      <c r="F15" s="16" t="s">
        <v>123</v>
      </c>
      <c r="G15" s="16" t="s">
        <v>128</v>
      </c>
      <c r="H15" s="20" t="s">
        <v>37</v>
      </c>
      <c r="I15" s="16" t="s">
        <v>124</v>
      </c>
      <c r="J15" s="20" t="s">
        <v>41</v>
      </c>
      <c r="K15" s="16" t="s">
        <v>127</v>
      </c>
      <c r="L15" s="20" t="s">
        <v>42</v>
      </c>
      <c r="M15" s="16"/>
      <c r="N15" s="16"/>
      <c r="O15" s="16"/>
      <c r="P15" s="16"/>
      <c r="Q15" s="16" t="s">
        <v>130</v>
      </c>
      <c r="R15" s="16" t="s">
        <v>49</v>
      </c>
      <c r="S15" s="16" t="s">
        <v>50</v>
      </c>
      <c r="T15" s="16" t="s">
        <v>53</v>
      </c>
      <c r="U15" s="16" t="s">
        <v>212</v>
      </c>
      <c r="V15" s="16" t="s">
        <v>213</v>
      </c>
      <c r="W15" s="16" t="s">
        <v>206</v>
      </c>
      <c r="X15" s="16" t="s">
        <v>208</v>
      </c>
      <c r="Y15" s="16" t="s">
        <v>210</v>
      </c>
      <c r="Z15" s="16" t="s">
        <v>67</v>
      </c>
      <c r="AA15" s="40" t="s">
        <v>211</v>
      </c>
      <c r="AB15" s="16" t="s">
        <v>59</v>
      </c>
    </row>
    <row r="16" spans="1:28" x14ac:dyDescent="0.3">
      <c r="A16" s="14" t="s">
        <v>108</v>
      </c>
      <c r="B16" s="24" t="s">
        <v>109</v>
      </c>
      <c r="C16" s="24" t="s">
        <v>110</v>
      </c>
      <c r="D16" s="24" t="s">
        <v>5</v>
      </c>
      <c r="E16" s="24">
        <v>8</v>
      </c>
      <c r="F16" s="25">
        <v>699.11504424778764</v>
      </c>
      <c r="G16" s="26">
        <v>2.2000000000000001E-3</v>
      </c>
      <c r="H16" s="21">
        <v>1.7600000000000001E-2</v>
      </c>
      <c r="I16" s="14"/>
      <c r="J16" s="14"/>
      <c r="K16" s="14"/>
      <c r="L16" s="14"/>
      <c r="M16" s="14"/>
      <c r="N16" s="14"/>
      <c r="O16" s="14"/>
      <c r="P16" s="14"/>
      <c r="Q16" s="22">
        <v>0</v>
      </c>
      <c r="R16" s="23">
        <v>1</v>
      </c>
      <c r="S16" s="21">
        <v>1.7600000000000001E-2</v>
      </c>
      <c r="T16" s="21">
        <v>12.304424778761099</v>
      </c>
      <c r="U16" s="21">
        <v>0</v>
      </c>
      <c r="V16" s="21">
        <v>1.7600000000000001E-2</v>
      </c>
      <c r="W16" s="21">
        <v>0</v>
      </c>
      <c r="X16" s="21"/>
      <c r="Y16" s="21">
        <v>12.304424778761064</v>
      </c>
      <c r="Z16" s="21" t="s">
        <v>63</v>
      </c>
      <c r="AA16" s="21">
        <v>444.021136363636</v>
      </c>
      <c r="AB16" s="21">
        <v>7.8147719999999943</v>
      </c>
    </row>
    <row r="17" spans="1:28" x14ac:dyDescent="0.3">
      <c r="A17" s="14" t="s">
        <v>111</v>
      </c>
      <c r="B17" s="24" t="s">
        <v>112</v>
      </c>
      <c r="C17" s="24" t="s">
        <v>113</v>
      </c>
      <c r="D17" s="24" t="s">
        <v>4</v>
      </c>
      <c r="E17" s="24">
        <v>36</v>
      </c>
      <c r="F17" s="25">
        <v>1274.3362831858408</v>
      </c>
      <c r="G17" s="26">
        <v>6.0499999999999998E-3</v>
      </c>
      <c r="H17" s="21">
        <v>0.21779999999999999</v>
      </c>
      <c r="I17" s="14"/>
      <c r="J17" s="14"/>
      <c r="K17" s="14"/>
      <c r="L17" s="14"/>
      <c r="M17" s="14"/>
      <c r="N17" s="14"/>
      <c r="O17" s="14"/>
      <c r="P17" s="14"/>
      <c r="Q17" s="22">
        <v>0</v>
      </c>
      <c r="R17" s="23">
        <v>1</v>
      </c>
      <c r="S17" s="21">
        <v>0.21779999999999999</v>
      </c>
      <c r="T17" s="21">
        <v>277.55044247787612</v>
      </c>
      <c r="U17" s="21">
        <v>0</v>
      </c>
      <c r="V17" s="21">
        <v>0.21779999999999999</v>
      </c>
      <c r="W17" s="21">
        <v>0</v>
      </c>
      <c r="X17" s="21"/>
      <c r="Y17" s="21">
        <v>277.55044247787612</v>
      </c>
      <c r="Z17" s="21" t="s">
        <v>64</v>
      </c>
      <c r="AA17" s="21">
        <v>679.04181818181803</v>
      </c>
      <c r="AB17" s="21">
        <v>147.89530799999997</v>
      </c>
    </row>
    <row r="18" spans="1:28" x14ac:dyDescent="0.3">
      <c r="A18" s="14" t="s">
        <v>114</v>
      </c>
      <c r="B18" s="24" t="s">
        <v>115</v>
      </c>
      <c r="C18" s="24" t="s">
        <v>116</v>
      </c>
      <c r="D18" s="24" t="s">
        <v>1</v>
      </c>
      <c r="E18" s="24">
        <v>4</v>
      </c>
      <c r="F18" s="25">
        <v>19150.442477876109</v>
      </c>
      <c r="G18" s="26">
        <v>8.0300000000000007E-3</v>
      </c>
      <c r="H18" s="21">
        <v>3.2120000000000003E-2</v>
      </c>
      <c r="I18" s="14"/>
      <c r="J18" s="14"/>
      <c r="K18" s="14"/>
      <c r="L18" s="14"/>
      <c r="M18" s="14"/>
      <c r="N18" s="14"/>
      <c r="O18" s="14"/>
      <c r="P18" s="14"/>
      <c r="Q18" s="22">
        <v>0.3</v>
      </c>
      <c r="R18" s="23">
        <v>3.5</v>
      </c>
      <c r="S18" s="21">
        <v>9.1771428571428577E-3</v>
      </c>
      <c r="T18" s="21">
        <v>175.74634639696592</v>
      </c>
      <c r="U18" s="21">
        <v>9.6360000000000005E-3</v>
      </c>
      <c r="V18" s="21">
        <v>2.2484000000000004E-2</v>
      </c>
      <c r="W18" s="21">
        <v>64.586782300884963</v>
      </c>
      <c r="X18" s="21">
        <v>430.57854867256651</v>
      </c>
      <c r="Y18" s="21">
        <v>670.91167737041746</v>
      </c>
      <c r="Z18" s="21" t="s">
        <v>64</v>
      </c>
      <c r="AA18" s="21">
        <v>679.04181818181803</v>
      </c>
      <c r="AB18" s="21">
        <v>21.810823199999998</v>
      </c>
    </row>
    <row r="19" spans="1:28" x14ac:dyDescent="0.3">
      <c r="A19" s="14"/>
      <c r="B19" s="19"/>
      <c r="C19" s="19"/>
      <c r="D19" s="19"/>
      <c r="E19" s="19"/>
      <c r="F19" s="19"/>
      <c r="G19" s="19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3">
      <c r="H20" s="3" t="s">
        <v>60</v>
      </c>
      <c r="I20" s="3"/>
      <c r="J20" s="3" t="s">
        <v>60</v>
      </c>
      <c r="K20" s="3"/>
      <c r="L20" s="3" t="s">
        <v>60</v>
      </c>
      <c r="M20" s="3"/>
      <c r="N20" s="3" t="s">
        <v>60</v>
      </c>
      <c r="O20" s="3"/>
      <c r="P20" s="3" t="s">
        <v>60</v>
      </c>
      <c r="T20" s="3" t="s">
        <v>60</v>
      </c>
      <c r="W20" s="3" t="s">
        <v>60</v>
      </c>
      <c r="X20" s="3" t="s">
        <v>60</v>
      </c>
      <c r="Y20" s="3" t="s">
        <v>99</v>
      </c>
      <c r="AB20" s="3" t="s">
        <v>100</v>
      </c>
    </row>
    <row r="21" spans="1:28" x14ac:dyDescent="0.3">
      <c r="A21" s="3" t="s">
        <v>62</v>
      </c>
    </row>
    <row r="22" spans="1:28" x14ac:dyDescent="0.3">
      <c r="A22" s="11" t="s">
        <v>69</v>
      </c>
      <c r="B22" s="45" t="s">
        <v>70</v>
      </c>
      <c r="C22" s="45"/>
      <c r="D22" s="45"/>
      <c r="E22" s="45"/>
      <c r="F22" s="45"/>
      <c r="G22" s="45"/>
    </row>
    <row r="23" spans="1:28" x14ac:dyDescent="0.3">
      <c r="A23" s="14" t="s">
        <v>71</v>
      </c>
      <c r="B23" s="44" t="s">
        <v>131</v>
      </c>
      <c r="C23" s="44"/>
      <c r="D23" s="44"/>
      <c r="E23" s="44"/>
      <c r="F23" s="44"/>
      <c r="G23" s="44"/>
    </row>
    <row r="24" spans="1:28" x14ac:dyDescent="0.3">
      <c r="A24" s="14" t="s">
        <v>60</v>
      </c>
      <c r="B24" s="43" t="s">
        <v>101</v>
      </c>
      <c r="C24" s="43"/>
      <c r="D24" s="43"/>
      <c r="E24" s="43"/>
      <c r="F24" s="43"/>
      <c r="G24" s="43"/>
    </row>
    <row r="26" spans="1:28" x14ac:dyDescent="0.3">
      <c r="A26" s="3" t="s">
        <v>76</v>
      </c>
    </row>
    <row r="27" spans="1:28" x14ac:dyDescent="0.3">
      <c r="A27" s="15" t="s">
        <v>69</v>
      </c>
      <c r="B27" s="15" t="s">
        <v>72</v>
      </c>
      <c r="C27" s="15" t="s">
        <v>73</v>
      </c>
      <c r="D27" s="15" t="s">
        <v>74</v>
      </c>
    </row>
    <row r="28" spans="1:28" x14ac:dyDescent="0.3">
      <c r="A28" s="12" t="s">
        <v>78</v>
      </c>
      <c r="B28" s="12" t="s">
        <v>80</v>
      </c>
      <c r="C28" s="13" t="s">
        <v>77</v>
      </c>
      <c r="D28" s="13" t="s">
        <v>79</v>
      </c>
    </row>
    <row r="29" spans="1:28" ht="70" x14ac:dyDescent="0.3">
      <c r="A29" s="12" t="s">
        <v>82</v>
      </c>
      <c r="B29" s="12" t="s">
        <v>81</v>
      </c>
      <c r="C29" s="13" t="s">
        <v>84</v>
      </c>
      <c r="D29" s="13" t="s">
        <v>83</v>
      </c>
    </row>
    <row r="30" spans="1:28" ht="42" x14ac:dyDescent="0.3">
      <c r="A30" s="12" t="s">
        <v>85</v>
      </c>
      <c r="B30" s="12" t="s">
        <v>81</v>
      </c>
      <c r="C30" s="13" t="s">
        <v>125</v>
      </c>
      <c r="D30" s="13" t="s">
        <v>86</v>
      </c>
    </row>
    <row r="31" spans="1:28" ht="28" x14ac:dyDescent="0.3">
      <c r="A31" s="12" t="s">
        <v>88</v>
      </c>
      <c r="B31" s="12" t="s">
        <v>81</v>
      </c>
      <c r="C31" s="13" t="s">
        <v>87</v>
      </c>
      <c r="D31" s="13" t="s">
        <v>89</v>
      </c>
    </row>
    <row r="32" spans="1:28" x14ac:dyDescent="0.3">
      <c r="A32" s="14" t="s">
        <v>75</v>
      </c>
      <c r="B32" s="14"/>
      <c r="C32" s="14"/>
      <c r="D32" s="16" t="s">
        <v>102</v>
      </c>
    </row>
    <row r="34" spans="1:3" x14ac:dyDescent="0.3">
      <c r="A34" s="3" t="s">
        <v>91</v>
      </c>
    </row>
    <row r="35" spans="1:3" x14ac:dyDescent="0.3">
      <c r="A35" s="14" t="s">
        <v>106</v>
      </c>
      <c r="B35" s="14" t="s">
        <v>98</v>
      </c>
      <c r="C35" s="14" t="s">
        <v>92</v>
      </c>
    </row>
    <row r="36" spans="1:3" ht="42" x14ac:dyDescent="0.3">
      <c r="A36" s="14" t="s">
        <v>93</v>
      </c>
      <c r="B36" s="17" t="s">
        <v>225</v>
      </c>
      <c r="C36" s="18" t="s">
        <v>105</v>
      </c>
    </row>
    <row r="37" spans="1:3" ht="42" x14ac:dyDescent="0.3">
      <c r="A37" s="14" t="s">
        <v>94</v>
      </c>
      <c r="B37" s="17" t="s">
        <v>103</v>
      </c>
      <c r="C37" s="18" t="s">
        <v>105</v>
      </c>
    </row>
    <row r="38" spans="1:3" x14ac:dyDescent="0.3">
      <c r="A38" s="14" t="s">
        <v>95</v>
      </c>
      <c r="B38" s="42" t="s">
        <v>100</v>
      </c>
      <c r="C38" s="18" t="s">
        <v>105</v>
      </c>
    </row>
    <row r="39" spans="1:3" x14ac:dyDescent="0.3">
      <c r="A39" s="14" t="s">
        <v>70</v>
      </c>
      <c r="B39" s="42" t="s">
        <v>101</v>
      </c>
      <c r="C39" s="18" t="s">
        <v>105</v>
      </c>
    </row>
    <row r="40" spans="1:3" x14ac:dyDescent="0.3">
      <c r="A40" s="14" t="s">
        <v>96</v>
      </c>
      <c r="B40" s="42" t="s">
        <v>102</v>
      </c>
      <c r="C40" s="18" t="s">
        <v>105</v>
      </c>
    </row>
    <row r="41" spans="1:3" x14ac:dyDescent="0.3">
      <c r="A41" s="14" t="s">
        <v>97</v>
      </c>
      <c r="B41" s="17" t="s">
        <v>104</v>
      </c>
      <c r="C41" s="18" t="s">
        <v>105</v>
      </c>
    </row>
    <row r="42" spans="1:3" x14ac:dyDescent="0.3">
      <c r="A42" s="14" t="s">
        <v>75</v>
      </c>
      <c r="B42" s="14"/>
      <c r="C42" s="18" t="s">
        <v>90</v>
      </c>
    </row>
    <row r="49" spans="1:4" x14ac:dyDescent="0.3">
      <c r="A49" s="31"/>
      <c r="B49" s="31" t="s">
        <v>132</v>
      </c>
      <c r="C49" s="32" t="s">
        <v>133</v>
      </c>
    </row>
    <row r="50" spans="1:4" s="35" customFormat="1" x14ac:dyDescent="0.3">
      <c r="A50" s="36" t="s">
        <v>195</v>
      </c>
      <c r="B50" s="33" t="s">
        <v>194</v>
      </c>
      <c r="C50" s="34"/>
    </row>
    <row r="51" spans="1:4" x14ac:dyDescent="0.3">
      <c r="B51" t="s">
        <v>137</v>
      </c>
    </row>
    <row r="52" spans="1:4" x14ac:dyDescent="0.3">
      <c r="B52" t="s">
        <v>138</v>
      </c>
    </row>
    <row r="53" spans="1:4" x14ac:dyDescent="0.3">
      <c r="B53" t="s">
        <v>139</v>
      </c>
    </row>
    <row r="54" spans="1:4" x14ac:dyDescent="0.3">
      <c r="B54" t="s">
        <v>140</v>
      </c>
    </row>
    <row r="55" spans="1:4" x14ac:dyDescent="0.3">
      <c r="B55" t="s">
        <v>141</v>
      </c>
    </row>
    <row r="56" spans="1:4" ht="70" x14ac:dyDescent="0.3">
      <c r="A56" s="37" t="s">
        <v>197</v>
      </c>
      <c r="B56" t="s">
        <v>142</v>
      </c>
      <c r="C56" s="27" t="s">
        <v>136</v>
      </c>
    </row>
    <row r="57" spans="1:4" x14ac:dyDescent="0.3">
      <c r="A57" s="37" t="s">
        <v>200</v>
      </c>
      <c r="B57" t="s">
        <v>196</v>
      </c>
    </row>
    <row r="58" spans="1:4" x14ac:dyDescent="0.3">
      <c r="A58">
        <v>1</v>
      </c>
      <c r="B58" t="s">
        <v>193</v>
      </c>
      <c r="C58" t="s">
        <v>198</v>
      </c>
    </row>
    <row r="59" spans="1:4" ht="56" x14ac:dyDescent="0.3">
      <c r="A59">
        <v>2</v>
      </c>
      <c r="B59" s="27" t="s">
        <v>162</v>
      </c>
      <c r="C59" t="s">
        <v>199</v>
      </c>
    </row>
    <row r="60" spans="1:4" ht="15" customHeight="1" x14ac:dyDescent="0.3">
      <c r="A60">
        <v>3</v>
      </c>
      <c r="B60" s="27" t="s">
        <v>160</v>
      </c>
    </row>
    <row r="61" spans="1:4" ht="19" customHeight="1" x14ac:dyDescent="0.3">
      <c r="B61" s="27" t="s">
        <v>190</v>
      </c>
      <c r="C61" t="s">
        <v>134</v>
      </c>
    </row>
    <row r="62" spans="1:4" ht="98" x14ac:dyDescent="0.3">
      <c r="B62" s="27" t="s">
        <v>143</v>
      </c>
      <c r="C62" s="27" t="s">
        <v>157</v>
      </c>
    </row>
    <row r="63" spans="1:4" ht="129" customHeight="1" x14ac:dyDescent="0.35">
      <c r="B63" s="27" t="s">
        <v>166</v>
      </c>
      <c r="C63" s="27" t="s">
        <v>168</v>
      </c>
      <c r="D63" s="38" t="s">
        <v>204</v>
      </c>
    </row>
    <row r="64" spans="1:4" ht="28" x14ac:dyDescent="0.3">
      <c r="B64" s="27" t="s">
        <v>167</v>
      </c>
      <c r="C64" s="27" t="s">
        <v>201</v>
      </c>
    </row>
    <row r="65" spans="1:4" x14ac:dyDescent="0.3">
      <c r="B65" s="27"/>
      <c r="C65" s="27"/>
    </row>
    <row r="67" spans="1:4" x14ac:dyDescent="0.3">
      <c r="A67">
        <v>10</v>
      </c>
      <c r="B67" s="27" t="s">
        <v>158</v>
      </c>
      <c r="C67" t="s">
        <v>169</v>
      </c>
    </row>
    <row r="68" spans="1:4" x14ac:dyDescent="0.3">
      <c r="B68" s="27"/>
      <c r="C68" s="27"/>
    </row>
    <row r="69" spans="1:4" x14ac:dyDescent="0.3">
      <c r="A69" s="37" t="s">
        <v>202</v>
      </c>
      <c r="B69" s="27" t="s">
        <v>170</v>
      </c>
    </row>
    <row r="70" spans="1:4" x14ac:dyDescent="0.3">
      <c r="B70" s="27" t="s">
        <v>192</v>
      </c>
    </row>
    <row r="71" spans="1:4" x14ac:dyDescent="0.3">
      <c r="B71" s="27" t="s">
        <v>173</v>
      </c>
    </row>
    <row r="72" spans="1:4" x14ac:dyDescent="0.3">
      <c r="B72" s="27" t="s">
        <v>171</v>
      </c>
      <c r="C72" t="s">
        <v>172</v>
      </c>
    </row>
    <row r="73" spans="1:4" ht="56" x14ac:dyDescent="0.3">
      <c r="B73" s="27" t="s">
        <v>174</v>
      </c>
      <c r="C73" s="27" t="s">
        <v>191</v>
      </c>
    </row>
    <row r="74" spans="1:4" x14ac:dyDescent="0.3">
      <c r="B74" s="27" t="s">
        <v>176</v>
      </c>
      <c r="C74" t="s">
        <v>134</v>
      </c>
    </row>
    <row r="75" spans="1:4" x14ac:dyDescent="0.3">
      <c r="B75" s="27" t="s">
        <v>175</v>
      </c>
      <c r="C75" t="s">
        <v>177</v>
      </c>
    </row>
    <row r="77" spans="1:4" x14ac:dyDescent="0.3">
      <c r="A77" s="37" t="s">
        <v>203</v>
      </c>
      <c r="B77" s="27" t="s">
        <v>178</v>
      </c>
    </row>
    <row r="78" spans="1:4" x14ac:dyDescent="0.3">
      <c r="B78" s="27" t="s">
        <v>179</v>
      </c>
    </row>
    <row r="79" spans="1:4" x14ac:dyDescent="0.3">
      <c r="B79" s="27" t="s">
        <v>189</v>
      </c>
    </row>
    <row r="80" spans="1:4" x14ac:dyDescent="0.3">
      <c r="B80" s="17" t="s">
        <v>106</v>
      </c>
      <c r="C80" s="14" t="s">
        <v>180</v>
      </c>
      <c r="D80" s="14" t="s">
        <v>181</v>
      </c>
    </row>
    <row r="81" spans="2:4" x14ac:dyDescent="0.3">
      <c r="B81" s="17" t="s">
        <v>182</v>
      </c>
      <c r="C81" s="14">
        <v>1.1299999999999999</v>
      </c>
      <c r="D81" s="14">
        <v>1.1299999999999999</v>
      </c>
    </row>
    <row r="82" spans="2:4" x14ac:dyDescent="0.3">
      <c r="B82" s="17" t="s">
        <v>183</v>
      </c>
      <c r="C82" s="14">
        <v>1.1299999999999999</v>
      </c>
      <c r="D82" s="14">
        <v>1.1299999999999999</v>
      </c>
    </row>
    <row r="83" spans="2:4" x14ac:dyDescent="0.3">
      <c r="B83" s="17" t="s">
        <v>184</v>
      </c>
      <c r="C83" s="14">
        <v>1.06</v>
      </c>
      <c r="D83" s="14">
        <v>1.1299999999999999</v>
      </c>
    </row>
    <row r="84" spans="2:4" x14ac:dyDescent="0.3">
      <c r="B84" s="17" t="s">
        <v>185</v>
      </c>
      <c r="C84" s="14">
        <v>1.06</v>
      </c>
      <c r="D84" s="14">
        <v>1.1299999999999999</v>
      </c>
    </row>
    <row r="85" spans="2:4" x14ac:dyDescent="0.3">
      <c r="B85" s="17" t="s">
        <v>186</v>
      </c>
      <c r="C85" s="14">
        <v>1.06</v>
      </c>
      <c r="D85" s="14">
        <v>1.1299999999999999</v>
      </c>
    </row>
    <row r="86" spans="2:4" x14ac:dyDescent="0.3">
      <c r="B86" s="17" t="s">
        <v>187</v>
      </c>
      <c r="C86" s="14">
        <v>1.06</v>
      </c>
      <c r="D86" s="14">
        <v>1.1299999999999999</v>
      </c>
    </row>
    <row r="87" spans="2:4" x14ac:dyDescent="0.3">
      <c r="B87" s="17" t="s">
        <v>188</v>
      </c>
      <c r="C87" s="14">
        <v>1.06</v>
      </c>
      <c r="D87" s="14">
        <v>1.1299999999999999</v>
      </c>
    </row>
    <row r="91" spans="2:4" ht="20" x14ac:dyDescent="0.4">
      <c r="B91" s="41" t="s">
        <v>224</v>
      </c>
    </row>
  </sheetData>
  <mergeCells count="3">
    <mergeCell ref="B24:G24"/>
    <mergeCell ref="B23:G23"/>
    <mergeCell ref="B22:G2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C1" workbookViewId="0">
      <selection activeCell="M2" sqref="M2:M18"/>
    </sheetView>
  </sheetViews>
  <sheetFormatPr defaultRowHeight="14" x14ac:dyDescent="0.3"/>
  <cols>
    <col min="1" max="1" width="14.08203125" bestFit="1" customWidth="1"/>
    <col min="2" max="2" width="27.33203125" customWidth="1"/>
    <col min="3" max="3" width="27" customWidth="1"/>
    <col min="4" max="4" width="23.83203125" customWidth="1"/>
    <col min="5" max="5" width="16.25" bestFit="1" customWidth="1"/>
    <col min="6" max="6" width="11.25" customWidth="1"/>
    <col min="7" max="10" width="10.25" customWidth="1"/>
    <col min="11" max="11" width="14.33203125" customWidth="1"/>
    <col min="12" max="12" width="19.33203125" customWidth="1"/>
    <col min="13" max="13" width="24.83203125" customWidth="1"/>
  </cols>
  <sheetData>
    <row r="1" spans="1:13" x14ac:dyDescent="0.3">
      <c r="A1" t="s">
        <v>0</v>
      </c>
      <c r="B1" t="s">
        <v>117</v>
      </c>
      <c r="C1" t="s">
        <v>118</v>
      </c>
      <c r="D1" t="s">
        <v>119</v>
      </c>
      <c r="E1" t="s">
        <v>19</v>
      </c>
      <c r="F1" t="s">
        <v>20</v>
      </c>
      <c r="G1" t="s">
        <v>21</v>
      </c>
      <c r="H1" t="s">
        <v>120</v>
      </c>
      <c r="I1" t="s">
        <v>121</v>
      </c>
      <c r="J1" t="s">
        <v>122</v>
      </c>
      <c r="K1" t="s">
        <v>22</v>
      </c>
      <c r="L1" t="s">
        <v>65</v>
      </c>
      <c r="M1" t="s">
        <v>68</v>
      </c>
    </row>
    <row r="2" spans="1:13" x14ac:dyDescent="0.3">
      <c r="A2" t="s">
        <v>1</v>
      </c>
      <c r="B2" s="1">
        <v>3.5</v>
      </c>
      <c r="C2" s="1">
        <v>2</v>
      </c>
      <c r="D2" s="1">
        <v>1.5</v>
      </c>
      <c r="E2" s="2">
        <v>7.3000000000000001E-3</v>
      </c>
      <c r="F2" s="2">
        <v>8.0300000000000007E-3</v>
      </c>
      <c r="G2" s="2">
        <v>8.7600000000000004E-3</v>
      </c>
      <c r="H2" s="2"/>
      <c r="I2" s="2"/>
      <c r="J2" s="2"/>
      <c r="K2" s="2">
        <v>0.4</v>
      </c>
      <c r="L2" s="1" t="s">
        <v>64</v>
      </c>
      <c r="M2" s="1"/>
    </row>
    <row r="3" spans="1:13" x14ac:dyDescent="0.3">
      <c r="A3" t="s">
        <v>2</v>
      </c>
      <c r="B3" s="1">
        <v>3.2006215788484838</v>
      </c>
      <c r="C3" s="1">
        <v>1.6003107894242419</v>
      </c>
      <c r="D3" s="1">
        <v>1.5</v>
      </c>
      <c r="E3" s="2">
        <v>2.8E-3</v>
      </c>
      <c r="F3" s="2">
        <v>3.0800000000000003E-3</v>
      </c>
      <c r="G3" s="2">
        <v>3.3599999999999997E-3</v>
      </c>
      <c r="H3" s="2"/>
      <c r="I3" s="2"/>
      <c r="J3" s="2"/>
      <c r="K3" s="2">
        <v>0.6</v>
      </c>
      <c r="L3" s="1" t="s">
        <v>64</v>
      </c>
      <c r="M3" s="1"/>
    </row>
    <row r="4" spans="1:13" x14ac:dyDescent="0.3">
      <c r="A4" t="s">
        <v>3</v>
      </c>
      <c r="B4" s="1">
        <v>4</v>
      </c>
      <c r="C4" s="1">
        <v>2.5</v>
      </c>
      <c r="D4" s="1">
        <v>2</v>
      </c>
      <c r="E4" s="2">
        <v>2E-3</v>
      </c>
      <c r="F4" s="2">
        <v>2.2000000000000001E-3</v>
      </c>
      <c r="G4" s="2">
        <v>2.3999999999999998E-3</v>
      </c>
      <c r="H4" s="2"/>
      <c r="I4" s="2"/>
      <c r="J4" s="2"/>
      <c r="K4" s="2">
        <v>0.4</v>
      </c>
      <c r="L4" s="1" t="s">
        <v>64</v>
      </c>
      <c r="M4" s="1"/>
    </row>
    <row r="5" spans="1:13" x14ac:dyDescent="0.3">
      <c r="A5" t="s">
        <v>4</v>
      </c>
      <c r="B5" s="1">
        <v>4</v>
      </c>
      <c r="C5" s="1">
        <v>1</v>
      </c>
      <c r="D5" s="1">
        <v>2</v>
      </c>
      <c r="E5" s="2">
        <v>5.4999999999999997E-3</v>
      </c>
      <c r="F5" s="2">
        <v>6.0499999999999998E-3</v>
      </c>
      <c r="G5" s="2">
        <v>6.5999999999999991E-3</v>
      </c>
      <c r="H5" s="2"/>
      <c r="I5" s="2"/>
      <c r="J5" s="2"/>
      <c r="K5" s="2">
        <v>0</v>
      </c>
      <c r="L5" s="1" t="s">
        <v>64</v>
      </c>
      <c r="M5" s="1"/>
    </row>
    <row r="6" spans="1:13" x14ac:dyDescent="0.3">
      <c r="A6" t="s">
        <v>15</v>
      </c>
      <c r="B6" s="1">
        <v>3.8473451143683839</v>
      </c>
      <c r="C6" s="1">
        <v>1</v>
      </c>
      <c r="D6" s="1">
        <v>2</v>
      </c>
      <c r="E6" s="2">
        <v>4.4999999999999997E-3</v>
      </c>
      <c r="F6" s="2">
        <v>4.9500000000000004E-3</v>
      </c>
      <c r="G6" s="2">
        <v>5.3999999999999994E-3</v>
      </c>
      <c r="H6" s="2"/>
      <c r="I6" s="2"/>
      <c r="J6" s="2"/>
      <c r="K6" s="2">
        <v>0</v>
      </c>
      <c r="L6" s="1" t="s">
        <v>64</v>
      </c>
      <c r="M6" s="1"/>
    </row>
    <row r="7" spans="1:13" x14ac:dyDescent="0.3">
      <c r="A7" t="s">
        <v>5</v>
      </c>
      <c r="B7" s="1">
        <v>3.9687294060721348</v>
      </c>
      <c r="C7" s="1">
        <v>1</v>
      </c>
      <c r="D7" s="1">
        <v>2</v>
      </c>
      <c r="E7" s="2">
        <v>2E-3</v>
      </c>
      <c r="F7" s="2">
        <v>2.2000000000000001E-3</v>
      </c>
      <c r="G7" s="2">
        <v>2.3999999999999998E-3</v>
      </c>
      <c r="H7" s="2"/>
      <c r="I7" s="2"/>
      <c r="J7" s="2"/>
      <c r="K7" s="2">
        <v>0</v>
      </c>
      <c r="L7" s="1" t="s">
        <v>63</v>
      </c>
      <c r="M7" s="1"/>
    </row>
    <row r="8" spans="1:13" x14ac:dyDescent="0.3">
      <c r="A8" t="s">
        <v>6</v>
      </c>
      <c r="B8" s="1">
        <v>3.5066170779678454</v>
      </c>
      <c r="C8" s="1">
        <v>2.5</v>
      </c>
      <c r="D8" s="1">
        <v>2</v>
      </c>
      <c r="E8" s="2">
        <v>6.4999999999999997E-3</v>
      </c>
      <c r="F8" s="2">
        <v>7.1500000000000001E-3</v>
      </c>
      <c r="G8" s="2">
        <v>7.7999999999999996E-3</v>
      </c>
      <c r="H8" s="2"/>
      <c r="I8" s="2"/>
      <c r="J8" s="2"/>
      <c r="K8" s="2">
        <v>0.6</v>
      </c>
      <c r="L8" s="1" t="s">
        <v>64</v>
      </c>
      <c r="M8" s="1"/>
    </row>
    <row r="9" spans="1:13" x14ac:dyDescent="0.3">
      <c r="A9" t="s">
        <v>7</v>
      </c>
      <c r="B9" s="1">
        <v>3.4441471337608682</v>
      </c>
      <c r="C9" s="1">
        <v>1</v>
      </c>
      <c r="D9" s="1">
        <v>2</v>
      </c>
      <c r="E9" s="2">
        <v>2.5000000000000001E-3</v>
      </c>
      <c r="F9" s="2">
        <v>2.7500000000000003E-3</v>
      </c>
      <c r="G9" s="2">
        <v>3.0000000000000001E-3</v>
      </c>
      <c r="H9" s="2"/>
      <c r="I9" s="2"/>
      <c r="J9" s="2"/>
      <c r="K9" s="2">
        <v>0</v>
      </c>
      <c r="L9" s="1" t="s">
        <v>63</v>
      </c>
      <c r="M9" s="1"/>
    </row>
    <row r="10" spans="1:13" x14ac:dyDescent="0.3">
      <c r="A10" t="s">
        <v>8</v>
      </c>
      <c r="B10" s="1">
        <v>3.5119258169902143</v>
      </c>
      <c r="C10" s="1">
        <v>1.7559629084951072</v>
      </c>
      <c r="D10" s="1">
        <v>1.5</v>
      </c>
      <c r="E10" s="2">
        <v>2.8999999999999998E-3</v>
      </c>
      <c r="F10" s="2">
        <v>3.1900000000000001E-3</v>
      </c>
      <c r="G10" s="2">
        <v>3.4799999999999996E-3</v>
      </c>
      <c r="H10" s="2"/>
      <c r="I10" s="2"/>
      <c r="J10" s="2"/>
      <c r="K10" s="2">
        <v>0.6</v>
      </c>
      <c r="L10" s="1" t="s">
        <v>63</v>
      </c>
      <c r="M10" s="1"/>
    </row>
    <row r="11" spans="1:13" x14ac:dyDescent="0.3">
      <c r="A11" t="s">
        <v>9</v>
      </c>
      <c r="B11" s="1">
        <v>3.815911565735675</v>
      </c>
      <c r="C11" s="1">
        <v>1.7056888054478749</v>
      </c>
      <c r="D11" s="1">
        <v>1.5</v>
      </c>
      <c r="E11" s="2">
        <v>3.3E-3</v>
      </c>
      <c r="F11" s="2">
        <v>3.6300000000000004E-3</v>
      </c>
      <c r="G11" s="2">
        <v>3.96E-3</v>
      </c>
      <c r="H11" s="2"/>
      <c r="I11" s="2"/>
      <c r="J11" s="2"/>
      <c r="K11" s="2">
        <v>0.4</v>
      </c>
      <c r="L11" s="1" t="s">
        <v>64</v>
      </c>
      <c r="M11" s="1"/>
    </row>
    <row r="12" spans="1:13" x14ac:dyDescent="0.3">
      <c r="A12" t="s">
        <v>10</v>
      </c>
      <c r="B12" s="1">
        <v>3.1211735254728126</v>
      </c>
      <c r="C12" s="1">
        <v>1.5605867627364063</v>
      </c>
      <c r="D12" s="1">
        <v>1.5</v>
      </c>
      <c r="E12" s="2">
        <v>3.5999999999999999E-3</v>
      </c>
      <c r="F12" s="2">
        <v>3.96E-3</v>
      </c>
      <c r="G12" s="2">
        <v>4.3200000000000001E-3</v>
      </c>
      <c r="H12" s="2"/>
      <c r="I12" s="2"/>
      <c r="J12" s="2"/>
      <c r="K12" s="2">
        <v>0.6</v>
      </c>
      <c r="L12" s="1" t="s">
        <v>64</v>
      </c>
      <c r="M12" s="1"/>
    </row>
    <row r="13" spans="1:13" x14ac:dyDescent="0.3">
      <c r="A13" t="s">
        <v>11</v>
      </c>
      <c r="B13" s="1">
        <v>3.8813959042834418</v>
      </c>
      <c r="C13" s="1">
        <v>1</v>
      </c>
      <c r="D13" s="1">
        <v>1.5</v>
      </c>
      <c r="E13" s="2">
        <v>4.1999999999999997E-3</v>
      </c>
      <c r="F13" s="2">
        <v>4.62E-3</v>
      </c>
      <c r="G13" s="2">
        <v>5.0399999999999993E-3</v>
      </c>
      <c r="H13" s="2"/>
      <c r="I13" s="2"/>
      <c r="J13" s="2"/>
      <c r="K13" s="2">
        <v>0</v>
      </c>
      <c r="L13" s="1" t="s">
        <v>63</v>
      </c>
      <c r="M13" s="1"/>
    </row>
    <row r="14" spans="1:13" x14ac:dyDescent="0.3">
      <c r="A14" t="s">
        <v>12</v>
      </c>
      <c r="B14" s="1">
        <v>3.0350721868390798</v>
      </c>
      <c r="C14" s="1">
        <v>1</v>
      </c>
      <c r="D14" s="1">
        <v>1.5</v>
      </c>
      <c r="E14" s="2">
        <v>6.3E-3</v>
      </c>
      <c r="F14" s="2">
        <v>6.9300000000000004E-3</v>
      </c>
      <c r="G14" s="2">
        <v>7.5599999999999999E-3</v>
      </c>
      <c r="H14" s="2"/>
      <c r="I14" s="2"/>
      <c r="J14" s="2"/>
      <c r="K14" s="2">
        <v>0</v>
      </c>
      <c r="L14" s="1" t="s">
        <v>66</v>
      </c>
      <c r="M14" s="1"/>
    </row>
    <row r="15" spans="1:13" x14ac:dyDescent="0.3">
      <c r="A15" t="s">
        <v>13</v>
      </c>
      <c r="B15" s="1">
        <v>2.9339031139444436</v>
      </c>
      <c r="C15" s="1">
        <v>1.9559354092962957</v>
      </c>
      <c r="D15" s="1">
        <v>1.5</v>
      </c>
      <c r="E15" s="2">
        <v>4.3E-3</v>
      </c>
      <c r="F15" s="2">
        <v>4.7300000000000007E-3</v>
      </c>
      <c r="G15" s="2">
        <v>5.1599999999999997E-3</v>
      </c>
      <c r="H15" s="2"/>
      <c r="I15" s="2"/>
      <c r="J15" s="2"/>
      <c r="K15" s="2">
        <v>0.4</v>
      </c>
      <c r="L15" s="1" t="s">
        <v>64</v>
      </c>
      <c r="M15" s="1"/>
    </row>
    <row r="16" spans="1:13" x14ac:dyDescent="0.3">
      <c r="A16" t="s">
        <v>14</v>
      </c>
      <c r="B16" s="1">
        <v>3.8881625106011217</v>
      </c>
      <c r="C16" s="1">
        <v>2.5</v>
      </c>
      <c r="D16" s="1">
        <v>2</v>
      </c>
      <c r="E16" s="2">
        <v>2E-3</v>
      </c>
      <c r="F16" s="2">
        <v>2.2000000000000001E-3</v>
      </c>
      <c r="G16" s="2">
        <v>2.3999999999999998E-3</v>
      </c>
      <c r="H16" s="2"/>
      <c r="I16" s="2"/>
      <c r="J16" s="2"/>
      <c r="K16" s="2">
        <v>0.4</v>
      </c>
      <c r="L16" s="1" t="str">
        <f>VLOOKUP(表1[[#This Row],[部件]],[1]!表1_468142414242[[部件名称]:[工程师上门等级]],15,0)</f>
        <v>初级</v>
      </c>
      <c r="M16" s="1"/>
    </row>
    <row r="17" spans="1:13" x14ac:dyDescent="0.3">
      <c r="A17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64</v>
      </c>
      <c r="M17" s="1"/>
    </row>
    <row r="18" spans="1:13" x14ac:dyDescent="0.3">
      <c r="A18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 t="s">
        <v>64</v>
      </c>
      <c r="M18" s="1"/>
    </row>
    <row r="19" spans="1:13" x14ac:dyDescent="0.3">
      <c r="A19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64</v>
      </c>
      <c r="M19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4C0F-07B2-4065-B996-B2ACF7CCB7B5}">
  <dimension ref="A1:F55"/>
  <sheetViews>
    <sheetView workbookViewId="0">
      <selection activeCell="C2" sqref="C2"/>
    </sheetView>
  </sheetViews>
  <sheetFormatPr defaultRowHeight="14" x14ac:dyDescent="0.3"/>
  <cols>
    <col min="1" max="1" width="16.83203125" customWidth="1"/>
    <col min="2" max="2" width="16.9140625" customWidth="1"/>
    <col min="3" max="3" width="23.1640625" customWidth="1"/>
    <col min="4" max="4" width="19.33203125" customWidth="1"/>
    <col min="5" max="5" width="18.83203125" customWidth="1"/>
    <col min="6" max="6" width="26.6640625" customWidth="1"/>
  </cols>
  <sheetData>
    <row r="1" spans="1:6" x14ac:dyDescent="0.3">
      <c r="A1" s="17" t="s">
        <v>161</v>
      </c>
      <c r="B1" s="14" t="s">
        <v>144</v>
      </c>
      <c r="C1" s="14" t="s">
        <v>148</v>
      </c>
      <c r="D1" s="14" t="s">
        <v>156</v>
      </c>
      <c r="E1" s="14" t="s">
        <v>155</v>
      </c>
      <c r="F1" s="28" t="s">
        <v>159</v>
      </c>
    </row>
    <row r="2" spans="1:6" ht="16.5" x14ac:dyDescent="0.3">
      <c r="A2" s="17" t="s">
        <v>163</v>
      </c>
      <c r="B2" s="14" t="s">
        <v>145</v>
      </c>
      <c r="C2" s="29" t="s">
        <v>149</v>
      </c>
      <c r="D2" s="29">
        <v>197</v>
      </c>
      <c r="E2" s="14">
        <v>247</v>
      </c>
      <c r="F2" s="30">
        <f>D2+E2</f>
        <v>444</v>
      </c>
    </row>
    <row r="3" spans="1:6" ht="16.5" x14ac:dyDescent="0.3">
      <c r="A3" s="17" t="s">
        <v>163</v>
      </c>
      <c r="B3" s="14" t="s">
        <v>145</v>
      </c>
      <c r="C3" s="29" t="s">
        <v>150</v>
      </c>
      <c r="D3" s="29">
        <v>197</v>
      </c>
      <c r="E3" s="14">
        <v>514</v>
      </c>
      <c r="F3" s="30">
        <f t="shared" ref="F3:F55" si="0">D3+E3</f>
        <v>711</v>
      </c>
    </row>
    <row r="4" spans="1:6" ht="16.5" x14ac:dyDescent="0.3">
      <c r="A4" s="17" t="s">
        <v>163</v>
      </c>
      <c r="B4" s="14" t="s">
        <v>145</v>
      </c>
      <c r="C4" s="29" t="s">
        <v>151</v>
      </c>
      <c r="D4" s="29">
        <v>197</v>
      </c>
      <c r="E4" s="14">
        <v>761</v>
      </c>
      <c r="F4" s="30">
        <f t="shared" si="0"/>
        <v>958</v>
      </c>
    </row>
    <row r="5" spans="1:6" ht="16.5" x14ac:dyDescent="0.3">
      <c r="A5" s="17" t="s">
        <v>163</v>
      </c>
      <c r="B5" s="14" t="s">
        <v>145</v>
      </c>
      <c r="C5" s="29" t="s">
        <v>152</v>
      </c>
      <c r="D5" s="29">
        <v>197</v>
      </c>
      <c r="E5" s="14">
        <v>1834</v>
      </c>
      <c r="F5" s="30">
        <f t="shared" si="0"/>
        <v>2031</v>
      </c>
    </row>
    <row r="6" spans="1:6" ht="16.5" x14ac:dyDescent="0.3">
      <c r="A6" s="17" t="s">
        <v>163</v>
      </c>
      <c r="B6" s="14" t="s">
        <v>145</v>
      </c>
      <c r="C6" s="29" t="s">
        <v>153</v>
      </c>
      <c r="D6" s="29">
        <v>197</v>
      </c>
      <c r="E6" s="14">
        <v>1954</v>
      </c>
      <c r="F6" s="30">
        <f t="shared" si="0"/>
        <v>2151</v>
      </c>
    </row>
    <row r="7" spans="1:6" ht="16.5" x14ac:dyDescent="0.3">
      <c r="A7" s="17" t="s">
        <v>163</v>
      </c>
      <c r="B7" s="14" t="s">
        <v>145</v>
      </c>
      <c r="C7" s="29" t="s">
        <v>154</v>
      </c>
      <c r="D7" s="29">
        <v>197</v>
      </c>
      <c r="E7" s="14">
        <v>3051</v>
      </c>
      <c r="F7" s="30">
        <f t="shared" si="0"/>
        <v>3248</v>
      </c>
    </row>
    <row r="8" spans="1:6" ht="16.5" x14ac:dyDescent="0.3">
      <c r="A8" s="17" t="s">
        <v>163</v>
      </c>
      <c r="B8" s="14" t="s">
        <v>146</v>
      </c>
      <c r="C8" s="29" t="s">
        <v>149</v>
      </c>
      <c r="D8" s="29">
        <v>296</v>
      </c>
      <c r="E8" s="14">
        <v>247</v>
      </c>
      <c r="F8" s="30">
        <f t="shared" si="0"/>
        <v>543</v>
      </c>
    </row>
    <row r="9" spans="1:6" ht="16.5" x14ac:dyDescent="0.3">
      <c r="A9" s="17" t="s">
        <v>163</v>
      </c>
      <c r="B9" s="14" t="s">
        <v>146</v>
      </c>
      <c r="C9" s="29" t="s">
        <v>150</v>
      </c>
      <c r="D9" s="29">
        <v>296</v>
      </c>
      <c r="E9" s="14">
        <v>514</v>
      </c>
      <c r="F9" s="30">
        <f t="shared" si="0"/>
        <v>810</v>
      </c>
    </row>
    <row r="10" spans="1:6" ht="16.5" x14ac:dyDescent="0.3">
      <c r="A10" s="17" t="s">
        <v>163</v>
      </c>
      <c r="B10" s="14" t="s">
        <v>146</v>
      </c>
      <c r="C10" s="29" t="s">
        <v>151</v>
      </c>
      <c r="D10" s="29">
        <v>296</v>
      </c>
      <c r="E10" s="14">
        <v>761</v>
      </c>
      <c r="F10" s="30">
        <f t="shared" si="0"/>
        <v>1057</v>
      </c>
    </row>
    <row r="11" spans="1:6" ht="16.5" x14ac:dyDescent="0.3">
      <c r="A11" s="17" t="s">
        <v>163</v>
      </c>
      <c r="B11" s="14" t="s">
        <v>146</v>
      </c>
      <c r="C11" s="29" t="s">
        <v>152</v>
      </c>
      <c r="D11" s="29">
        <v>296</v>
      </c>
      <c r="E11" s="14">
        <v>1834</v>
      </c>
      <c r="F11" s="30">
        <f t="shared" si="0"/>
        <v>2130</v>
      </c>
    </row>
    <row r="12" spans="1:6" ht="16.5" x14ac:dyDescent="0.3">
      <c r="A12" s="17" t="s">
        <v>163</v>
      </c>
      <c r="B12" s="14" t="s">
        <v>146</v>
      </c>
      <c r="C12" s="29" t="s">
        <v>153</v>
      </c>
      <c r="D12" s="29">
        <v>296</v>
      </c>
      <c r="E12" s="14">
        <v>1954</v>
      </c>
      <c r="F12" s="30">
        <f t="shared" si="0"/>
        <v>2250</v>
      </c>
    </row>
    <row r="13" spans="1:6" ht="16.5" x14ac:dyDescent="0.3">
      <c r="A13" s="17" t="s">
        <v>163</v>
      </c>
      <c r="B13" s="14" t="s">
        <v>146</v>
      </c>
      <c r="C13" s="29" t="s">
        <v>154</v>
      </c>
      <c r="D13" s="29">
        <v>296</v>
      </c>
      <c r="E13" s="14">
        <v>3051</v>
      </c>
      <c r="F13" s="30">
        <f t="shared" si="0"/>
        <v>3347</v>
      </c>
    </row>
    <row r="14" spans="1:6" ht="16.5" x14ac:dyDescent="0.3">
      <c r="A14" s="17" t="s">
        <v>163</v>
      </c>
      <c r="B14" s="14" t="s">
        <v>147</v>
      </c>
      <c r="C14" s="29" t="s">
        <v>149</v>
      </c>
      <c r="D14" s="29">
        <v>395</v>
      </c>
      <c r="E14" s="14">
        <v>247</v>
      </c>
      <c r="F14" s="30">
        <f t="shared" si="0"/>
        <v>642</v>
      </c>
    </row>
    <row r="15" spans="1:6" ht="16.5" x14ac:dyDescent="0.3">
      <c r="A15" s="17" t="s">
        <v>163</v>
      </c>
      <c r="B15" s="14" t="s">
        <v>147</v>
      </c>
      <c r="C15" s="29" t="s">
        <v>150</v>
      </c>
      <c r="D15" s="29">
        <v>395</v>
      </c>
      <c r="E15" s="14">
        <v>514</v>
      </c>
      <c r="F15" s="30">
        <f t="shared" si="0"/>
        <v>909</v>
      </c>
    </row>
    <row r="16" spans="1:6" ht="16.5" x14ac:dyDescent="0.3">
      <c r="A16" s="17" t="s">
        <v>163</v>
      </c>
      <c r="B16" s="14" t="s">
        <v>147</v>
      </c>
      <c r="C16" s="29" t="s">
        <v>151</v>
      </c>
      <c r="D16" s="29">
        <v>395</v>
      </c>
      <c r="E16" s="14">
        <v>761</v>
      </c>
      <c r="F16" s="30">
        <f t="shared" si="0"/>
        <v>1156</v>
      </c>
    </row>
    <row r="17" spans="1:6" ht="16.5" x14ac:dyDescent="0.3">
      <c r="A17" s="17" t="s">
        <v>163</v>
      </c>
      <c r="B17" s="14" t="s">
        <v>147</v>
      </c>
      <c r="C17" s="29" t="s">
        <v>152</v>
      </c>
      <c r="D17" s="29">
        <v>395</v>
      </c>
      <c r="E17" s="14">
        <v>1834</v>
      </c>
      <c r="F17" s="30">
        <f t="shared" si="0"/>
        <v>2229</v>
      </c>
    </row>
    <row r="18" spans="1:6" ht="16.5" x14ac:dyDescent="0.3">
      <c r="A18" s="17" t="s">
        <v>163</v>
      </c>
      <c r="B18" s="14" t="s">
        <v>147</v>
      </c>
      <c r="C18" s="29" t="s">
        <v>153</v>
      </c>
      <c r="D18" s="29">
        <v>395</v>
      </c>
      <c r="E18" s="14">
        <v>1954</v>
      </c>
      <c r="F18" s="30">
        <f t="shared" si="0"/>
        <v>2349</v>
      </c>
    </row>
    <row r="19" spans="1:6" ht="16.5" x14ac:dyDescent="0.3">
      <c r="A19" s="17" t="s">
        <v>163</v>
      </c>
      <c r="B19" s="14" t="s">
        <v>147</v>
      </c>
      <c r="C19" s="29" t="s">
        <v>154</v>
      </c>
      <c r="D19" s="29">
        <v>395</v>
      </c>
      <c r="E19" s="14">
        <v>3051</v>
      </c>
      <c r="F19" s="30">
        <f t="shared" si="0"/>
        <v>3446</v>
      </c>
    </row>
    <row r="20" spans="1:6" ht="16.5" x14ac:dyDescent="0.3">
      <c r="A20" s="17" t="s">
        <v>164</v>
      </c>
      <c r="B20" s="14" t="s">
        <v>145</v>
      </c>
      <c r="C20" s="29" t="s">
        <v>149</v>
      </c>
      <c r="D20" s="29">
        <v>316</v>
      </c>
      <c r="E20" s="14">
        <v>364</v>
      </c>
      <c r="F20" s="30">
        <f t="shared" si="0"/>
        <v>680</v>
      </c>
    </row>
    <row r="21" spans="1:6" ht="16.5" x14ac:dyDescent="0.3">
      <c r="A21" s="17" t="s">
        <v>164</v>
      </c>
      <c r="B21" s="14" t="s">
        <v>145</v>
      </c>
      <c r="C21" s="29" t="s">
        <v>150</v>
      </c>
      <c r="D21" s="29">
        <v>316</v>
      </c>
      <c r="E21" s="14">
        <v>733</v>
      </c>
      <c r="F21" s="30">
        <f t="shared" si="0"/>
        <v>1049</v>
      </c>
    </row>
    <row r="22" spans="1:6" ht="16.5" x14ac:dyDescent="0.3">
      <c r="A22" s="17" t="s">
        <v>164</v>
      </c>
      <c r="B22" s="14" t="s">
        <v>145</v>
      </c>
      <c r="C22" s="29" t="s">
        <v>151</v>
      </c>
      <c r="D22" s="29">
        <v>316</v>
      </c>
      <c r="E22" s="14">
        <v>1053</v>
      </c>
      <c r="F22" s="30">
        <f t="shared" si="0"/>
        <v>1369</v>
      </c>
    </row>
    <row r="23" spans="1:6" ht="16.5" x14ac:dyDescent="0.3">
      <c r="A23" s="17" t="s">
        <v>164</v>
      </c>
      <c r="B23" s="14" t="s">
        <v>145</v>
      </c>
      <c r="C23" s="29" t="s">
        <v>152</v>
      </c>
      <c r="D23" s="29">
        <v>316</v>
      </c>
      <c r="E23" s="14">
        <v>2417</v>
      </c>
      <c r="F23" s="30">
        <f t="shared" si="0"/>
        <v>2733</v>
      </c>
    </row>
    <row r="24" spans="1:6" ht="16.5" x14ac:dyDescent="0.3">
      <c r="A24" s="17" t="s">
        <v>164</v>
      </c>
      <c r="B24" s="14" t="s">
        <v>145</v>
      </c>
      <c r="C24" s="29" t="s">
        <v>153</v>
      </c>
      <c r="D24" s="29">
        <v>316</v>
      </c>
      <c r="E24" s="14">
        <v>2537</v>
      </c>
      <c r="F24" s="30">
        <f t="shared" si="0"/>
        <v>2853</v>
      </c>
    </row>
    <row r="25" spans="1:6" ht="16.5" x14ac:dyDescent="0.3">
      <c r="A25" s="17" t="s">
        <v>164</v>
      </c>
      <c r="B25" s="14" t="s">
        <v>145</v>
      </c>
      <c r="C25" s="29" t="s">
        <v>154</v>
      </c>
      <c r="D25" s="29">
        <v>316</v>
      </c>
      <c r="E25" s="14">
        <v>3925</v>
      </c>
      <c r="F25" s="30">
        <f t="shared" si="0"/>
        <v>4241</v>
      </c>
    </row>
    <row r="26" spans="1:6" ht="16.5" x14ac:dyDescent="0.3">
      <c r="A26" s="17" t="s">
        <v>164</v>
      </c>
      <c r="B26" s="14" t="s">
        <v>146</v>
      </c>
      <c r="C26" s="29" t="s">
        <v>149</v>
      </c>
      <c r="D26" s="29">
        <v>474</v>
      </c>
      <c r="E26" s="14">
        <v>364</v>
      </c>
      <c r="F26" s="30">
        <f t="shared" si="0"/>
        <v>838</v>
      </c>
    </row>
    <row r="27" spans="1:6" ht="16.5" x14ac:dyDescent="0.3">
      <c r="A27" s="17" t="s">
        <v>164</v>
      </c>
      <c r="B27" s="14" t="s">
        <v>146</v>
      </c>
      <c r="C27" s="29" t="s">
        <v>150</v>
      </c>
      <c r="D27" s="29">
        <v>474</v>
      </c>
      <c r="E27" s="14">
        <v>733</v>
      </c>
      <c r="F27" s="30">
        <f t="shared" si="0"/>
        <v>1207</v>
      </c>
    </row>
    <row r="28" spans="1:6" ht="16.5" x14ac:dyDescent="0.3">
      <c r="A28" s="17" t="s">
        <v>164</v>
      </c>
      <c r="B28" s="14" t="s">
        <v>146</v>
      </c>
      <c r="C28" s="29" t="s">
        <v>151</v>
      </c>
      <c r="D28" s="29">
        <v>474</v>
      </c>
      <c r="E28" s="14">
        <v>1053</v>
      </c>
      <c r="F28" s="30">
        <f t="shared" si="0"/>
        <v>1527</v>
      </c>
    </row>
    <row r="29" spans="1:6" ht="16.5" x14ac:dyDescent="0.3">
      <c r="A29" s="17" t="s">
        <v>164</v>
      </c>
      <c r="B29" s="14" t="s">
        <v>146</v>
      </c>
      <c r="C29" s="29" t="s">
        <v>152</v>
      </c>
      <c r="D29" s="29">
        <v>474</v>
      </c>
      <c r="E29" s="14">
        <v>2417</v>
      </c>
      <c r="F29" s="30">
        <f t="shared" si="0"/>
        <v>2891</v>
      </c>
    </row>
    <row r="30" spans="1:6" ht="16.5" x14ac:dyDescent="0.3">
      <c r="A30" s="17" t="s">
        <v>164</v>
      </c>
      <c r="B30" s="14" t="s">
        <v>146</v>
      </c>
      <c r="C30" s="29" t="s">
        <v>153</v>
      </c>
      <c r="D30" s="29">
        <v>474</v>
      </c>
      <c r="E30" s="14">
        <v>2537</v>
      </c>
      <c r="F30" s="30">
        <f t="shared" si="0"/>
        <v>3011</v>
      </c>
    </row>
    <row r="31" spans="1:6" ht="16.5" x14ac:dyDescent="0.3">
      <c r="A31" s="17" t="s">
        <v>164</v>
      </c>
      <c r="B31" s="14" t="s">
        <v>146</v>
      </c>
      <c r="C31" s="29" t="s">
        <v>154</v>
      </c>
      <c r="D31" s="29">
        <v>474</v>
      </c>
      <c r="E31" s="14">
        <v>3925</v>
      </c>
      <c r="F31" s="30">
        <f t="shared" si="0"/>
        <v>4399</v>
      </c>
    </row>
    <row r="32" spans="1:6" ht="16.5" x14ac:dyDescent="0.3">
      <c r="A32" s="17" t="s">
        <v>164</v>
      </c>
      <c r="B32" s="14" t="s">
        <v>147</v>
      </c>
      <c r="C32" s="29" t="s">
        <v>149</v>
      </c>
      <c r="D32" s="29">
        <v>631</v>
      </c>
      <c r="E32" s="14">
        <v>364</v>
      </c>
      <c r="F32" s="30">
        <f t="shared" si="0"/>
        <v>995</v>
      </c>
    </row>
    <row r="33" spans="1:6" ht="16.5" x14ac:dyDescent="0.3">
      <c r="A33" s="17" t="s">
        <v>164</v>
      </c>
      <c r="B33" s="14" t="s">
        <v>147</v>
      </c>
      <c r="C33" s="29" t="s">
        <v>150</v>
      </c>
      <c r="D33" s="29">
        <v>631</v>
      </c>
      <c r="E33" s="14">
        <v>733</v>
      </c>
      <c r="F33" s="30">
        <f t="shared" si="0"/>
        <v>1364</v>
      </c>
    </row>
    <row r="34" spans="1:6" ht="16.5" x14ac:dyDescent="0.3">
      <c r="A34" s="17" t="s">
        <v>164</v>
      </c>
      <c r="B34" s="14" t="s">
        <v>147</v>
      </c>
      <c r="C34" s="29" t="s">
        <v>151</v>
      </c>
      <c r="D34" s="29">
        <v>631</v>
      </c>
      <c r="E34" s="14">
        <v>1053</v>
      </c>
      <c r="F34" s="30">
        <f t="shared" si="0"/>
        <v>1684</v>
      </c>
    </row>
    <row r="35" spans="1:6" ht="16.5" x14ac:dyDescent="0.3">
      <c r="A35" s="17" t="s">
        <v>164</v>
      </c>
      <c r="B35" s="14" t="s">
        <v>147</v>
      </c>
      <c r="C35" s="29" t="s">
        <v>152</v>
      </c>
      <c r="D35" s="29">
        <v>631</v>
      </c>
      <c r="E35" s="14">
        <v>2417</v>
      </c>
      <c r="F35" s="30">
        <f t="shared" si="0"/>
        <v>3048</v>
      </c>
    </row>
    <row r="36" spans="1:6" ht="16.5" x14ac:dyDescent="0.3">
      <c r="A36" s="17" t="s">
        <v>164</v>
      </c>
      <c r="B36" s="14" t="s">
        <v>147</v>
      </c>
      <c r="C36" s="29" t="s">
        <v>153</v>
      </c>
      <c r="D36" s="29">
        <v>631</v>
      </c>
      <c r="E36" s="14">
        <v>2537</v>
      </c>
      <c r="F36" s="30">
        <f t="shared" si="0"/>
        <v>3168</v>
      </c>
    </row>
    <row r="37" spans="1:6" ht="16.5" x14ac:dyDescent="0.3">
      <c r="A37" s="17" t="s">
        <v>164</v>
      </c>
      <c r="B37" s="14" t="s">
        <v>147</v>
      </c>
      <c r="C37" s="29" t="s">
        <v>154</v>
      </c>
      <c r="D37" s="29">
        <v>631</v>
      </c>
      <c r="E37" s="14">
        <v>3925</v>
      </c>
      <c r="F37" s="30">
        <f t="shared" si="0"/>
        <v>4556</v>
      </c>
    </row>
    <row r="38" spans="1:6" ht="16.5" x14ac:dyDescent="0.3">
      <c r="A38" s="17" t="s">
        <v>165</v>
      </c>
      <c r="B38" s="14" t="s">
        <v>145</v>
      </c>
      <c r="C38" s="29" t="s">
        <v>149</v>
      </c>
      <c r="D38" s="29">
        <v>474</v>
      </c>
      <c r="E38" s="14">
        <v>457</v>
      </c>
      <c r="F38" s="30">
        <f t="shared" si="0"/>
        <v>931</v>
      </c>
    </row>
    <row r="39" spans="1:6" ht="16.5" x14ac:dyDescent="0.3">
      <c r="A39" s="17" t="s">
        <v>165</v>
      </c>
      <c r="B39" s="14" t="s">
        <v>145</v>
      </c>
      <c r="C39" s="29" t="s">
        <v>150</v>
      </c>
      <c r="D39" s="29">
        <v>474</v>
      </c>
      <c r="E39" s="14">
        <v>908</v>
      </c>
      <c r="F39" s="30">
        <f t="shared" si="0"/>
        <v>1382</v>
      </c>
    </row>
    <row r="40" spans="1:6" ht="16.5" x14ac:dyDescent="0.3">
      <c r="A40" s="17" t="s">
        <v>165</v>
      </c>
      <c r="B40" s="14" t="s">
        <v>145</v>
      </c>
      <c r="C40" s="29" t="s">
        <v>151</v>
      </c>
      <c r="D40" s="29">
        <v>474</v>
      </c>
      <c r="E40" s="14">
        <v>1287</v>
      </c>
      <c r="F40" s="30">
        <f t="shared" si="0"/>
        <v>1761</v>
      </c>
    </row>
    <row r="41" spans="1:6" ht="16.5" x14ac:dyDescent="0.3">
      <c r="A41" s="17" t="s">
        <v>165</v>
      </c>
      <c r="B41" s="14" t="s">
        <v>145</v>
      </c>
      <c r="C41" s="29" t="s">
        <v>152</v>
      </c>
      <c r="D41" s="29">
        <v>474</v>
      </c>
      <c r="E41" s="14">
        <v>2885</v>
      </c>
      <c r="F41" s="30">
        <f t="shared" si="0"/>
        <v>3359</v>
      </c>
    </row>
    <row r="42" spans="1:6" ht="16.5" x14ac:dyDescent="0.3">
      <c r="A42" s="17" t="s">
        <v>165</v>
      </c>
      <c r="B42" s="14" t="s">
        <v>145</v>
      </c>
      <c r="C42" s="29" t="s">
        <v>153</v>
      </c>
      <c r="D42" s="29">
        <v>474</v>
      </c>
      <c r="E42" s="14">
        <v>3005</v>
      </c>
      <c r="F42" s="30">
        <f t="shared" si="0"/>
        <v>3479</v>
      </c>
    </row>
    <row r="43" spans="1:6" ht="16.5" x14ac:dyDescent="0.3">
      <c r="A43" s="17" t="s">
        <v>165</v>
      </c>
      <c r="B43" s="14" t="s">
        <v>145</v>
      </c>
      <c r="C43" s="29" t="s">
        <v>154</v>
      </c>
      <c r="D43" s="29">
        <v>474</v>
      </c>
      <c r="E43" s="14">
        <v>4628</v>
      </c>
      <c r="F43" s="30">
        <f t="shared" si="0"/>
        <v>5102</v>
      </c>
    </row>
    <row r="44" spans="1:6" ht="16.5" x14ac:dyDescent="0.3">
      <c r="A44" s="17" t="s">
        <v>165</v>
      </c>
      <c r="B44" s="14" t="s">
        <v>146</v>
      </c>
      <c r="C44" s="29" t="s">
        <v>149</v>
      </c>
      <c r="D44" s="29">
        <v>710</v>
      </c>
      <c r="E44" s="14">
        <v>457</v>
      </c>
      <c r="F44" s="30">
        <f t="shared" si="0"/>
        <v>1167</v>
      </c>
    </row>
    <row r="45" spans="1:6" ht="16.5" x14ac:dyDescent="0.3">
      <c r="A45" s="17" t="s">
        <v>165</v>
      </c>
      <c r="B45" s="14" t="s">
        <v>146</v>
      </c>
      <c r="C45" s="29" t="s">
        <v>150</v>
      </c>
      <c r="D45" s="29">
        <v>710</v>
      </c>
      <c r="E45" s="14">
        <v>908</v>
      </c>
      <c r="F45" s="30">
        <f t="shared" si="0"/>
        <v>1618</v>
      </c>
    </row>
    <row r="46" spans="1:6" ht="16.5" x14ac:dyDescent="0.3">
      <c r="A46" s="17" t="s">
        <v>165</v>
      </c>
      <c r="B46" s="14" t="s">
        <v>146</v>
      </c>
      <c r="C46" s="29" t="s">
        <v>151</v>
      </c>
      <c r="D46" s="29">
        <v>710</v>
      </c>
      <c r="E46" s="14">
        <v>1287</v>
      </c>
      <c r="F46" s="30">
        <f t="shared" si="0"/>
        <v>1997</v>
      </c>
    </row>
    <row r="47" spans="1:6" ht="16.5" x14ac:dyDescent="0.3">
      <c r="A47" s="17" t="s">
        <v>165</v>
      </c>
      <c r="B47" s="14" t="s">
        <v>146</v>
      </c>
      <c r="C47" s="29" t="s">
        <v>152</v>
      </c>
      <c r="D47" s="29">
        <v>710</v>
      </c>
      <c r="E47" s="14">
        <v>2885</v>
      </c>
      <c r="F47" s="30">
        <f t="shared" si="0"/>
        <v>3595</v>
      </c>
    </row>
    <row r="48" spans="1:6" ht="16.5" x14ac:dyDescent="0.3">
      <c r="A48" s="17" t="s">
        <v>165</v>
      </c>
      <c r="B48" s="14" t="s">
        <v>146</v>
      </c>
      <c r="C48" s="29" t="s">
        <v>153</v>
      </c>
      <c r="D48" s="29">
        <v>710</v>
      </c>
      <c r="E48" s="14">
        <v>3005</v>
      </c>
      <c r="F48" s="30">
        <f t="shared" si="0"/>
        <v>3715</v>
      </c>
    </row>
    <row r="49" spans="1:6" ht="16.5" x14ac:dyDescent="0.3">
      <c r="A49" s="17" t="s">
        <v>165</v>
      </c>
      <c r="B49" s="14" t="s">
        <v>146</v>
      </c>
      <c r="C49" s="29" t="s">
        <v>154</v>
      </c>
      <c r="D49" s="29">
        <v>710</v>
      </c>
      <c r="E49" s="14">
        <v>4628</v>
      </c>
      <c r="F49" s="30">
        <f t="shared" si="0"/>
        <v>5338</v>
      </c>
    </row>
    <row r="50" spans="1:6" ht="16.5" x14ac:dyDescent="0.3">
      <c r="A50" s="17" t="s">
        <v>165</v>
      </c>
      <c r="B50" s="14" t="s">
        <v>147</v>
      </c>
      <c r="C50" s="29" t="s">
        <v>149</v>
      </c>
      <c r="D50" s="29">
        <v>947</v>
      </c>
      <c r="E50" s="14">
        <v>457</v>
      </c>
      <c r="F50" s="30">
        <f t="shared" si="0"/>
        <v>1404</v>
      </c>
    </row>
    <row r="51" spans="1:6" ht="16.5" x14ac:dyDescent="0.3">
      <c r="A51" s="17" t="s">
        <v>165</v>
      </c>
      <c r="B51" s="14" t="s">
        <v>147</v>
      </c>
      <c r="C51" s="29" t="s">
        <v>150</v>
      </c>
      <c r="D51" s="29">
        <v>947</v>
      </c>
      <c r="E51" s="14">
        <v>908</v>
      </c>
      <c r="F51" s="30">
        <f t="shared" si="0"/>
        <v>1855</v>
      </c>
    </row>
    <row r="52" spans="1:6" ht="16.5" x14ac:dyDescent="0.3">
      <c r="A52" s="17" t="s">
        <v>165</v>
      </c>
      <c r="B52" s="14" t="s">
        <v>147</v>
      </c>
      <c r="C52" s="29" t="s">
        <v>151</v>
      </c>
      <c r="D52" s="29">
        <v>947</v>
      </c>
      <c r="E52" s="14">
        <v>1287</v>
      </c>
      <c r="F52" s="30">
        <f t="shared" si="0"/>
        <v>2234</v>
      </c>
    </row>
    <row r="53" spans="1:6" ht="16.5" x14ac:dyDescent="0.3">
      <c r="A53" s="17" t="s">
        <v>165</v>
      </c>
      <c r="B53" s="14" t="s">
        <v>147</v>
      </c>
      <c r="C53" s="29" t="s">
        <v>152</v>
      </c>
      <c r="D53" s="29">
        <v>947</v>
      </c>
      <c r="E53" s="14">
        <v>2885</v>
      </c>
      <c r="F53" s="30">
        <f t="shared" si="0"/>
        <v>3832</v>
      </c>
    </row>
    <row r="54" spans="1:6" ht="16.5" x14ac:dyDescent="0.3">
      <c r="A54" s="17" t="s">
        <v>165</v>
      </c>
      <c r="B54" s="14" t="s">
        <v>147</v>
      </c>
      <c r="C54" s="29" t="s">
        <v>153</v>
      </c>
      <c r="D54" s="29">
        <v>947</v>
      </c>
      <c r="E54" s="14">
        <v>3005</v>
      </c>
      <c r="F54" s="30">
        <f t="shared" si="0"/>
        <v>3952</v>
      </c>
    </row>
    <row r="55" spans="1:6" ht="16.5" x14ac:dyDescent="0.3">
      <c r="A55" s="17" t="s">
        <v>165</v>
      </c>
      <c r="B55" s="14" t="s">
        <v>147</v>
      </c>
      <c r="C55" s="29" t="s">
        <v>154</v>
      </c>
      <c r="D55" s="29">
        <v>947</v>
      </c>
      <c r="E55" s="14">
        <v>4628</v>
      </c>
      <c r="F55" s="30">
        <f t="shared" si="0"/>
        <v>5575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核算模型</vt:lpstr>
      <vt:lpstr>基础数据参数1</vt:lpstr>
      <vt:lpstr>ASP上门成本基础数据表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user</cp:lastModifiedBy>
  <dcterms:created xsi:type="dcterms:W3CDTF">2015-06-05T18:19:34Z</dcterms:created>
  <dcterms:modified xsi:type="dcterms:W3CDTF">2026-01-29T03:34:49Z</dcterms:modified>
</cp:coreProperties>
</file>
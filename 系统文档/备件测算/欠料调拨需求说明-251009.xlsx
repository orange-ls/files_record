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备件系统\备件测算系统迭代----欠料调拨计划251009\"/>
    </mc:Choice>
  </mc:AlternateContent>
  <xr:revisionPtr revIDLastSave="0" documentId="13_ncr:1_{A373CC99-2195-482B-9CEE-82034F925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需求1欠料调拨" sheetId="3" r:id="rId1"/>
    <sheet name="需求2本地库存查询优化" sheetId="4" r:id="rId2"/>
    <sheet name="截止目前未发货2" sheetId="2" state="hidden" r:id="rId3"/>
  </sheets>
  <externalReferences>
    <externalReference r:id="rId4"/>
    <externalReference r:id="rId5"/>
  </externalReferences>
  <definedNames>
    <definedName name="_xlnm._FilterDatabase" localSheetId="2" hidden="1">截止目前未发货2!$A$1:$I$319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8" i="2" l="1"/>
  <c r="H318" i="2" s="1"/>
  <c r="B317" i="2"/>
  <c r="H317" i="2" s="1"/>
  <c r="B316" i="2"/>
  <c r="H316" i="2" s="1"/>
  <c r="B315" i="2"/>
  <c r="H315" i="2" s="1"/>
  <c r="B314" i="2"/>
  <c r="H314" i="2" s="1"/>
  <c r="B313" i="2"/>
  <c r="H313" i="2" s="1"/>
  <c r="B312" i="2"/>
  <c r="H312" i="2" s="1"/>
  <c r="B311" i="2"/>
  <c r="H311" i="2" s="1"/>
  <c r="B310" i="2"/>
  <c r="H310" i="2" s="1"/>
  <c r="B309" i="2"/>
  <c r="H309" i="2" s="1"/>
  <c r="B308" i="2"/>
  <c r="H308" i="2" s="1"/>
  <c r="H307" i="2"/>
  <c r="B307" i="2"/>
  <c r="B306" i="2"/>
  <c r="H306" i="2" s="1"/>
  <c r="B305" i="2"/>
  <c r="H305" i="2" s="1"/>
  <c r="B304" i="2"/>
  <c r="H304" i="2" s="1"/>
  <c r="B303" i="2"/>
  <c r="H303" i="2" s="1"/>
  <c r="B302" i="2"/>
  <c r="H302" i="2" s="1"/>
  <c r="B301" i="2"/>
  <c r="H301" i="2" s="1"/>
  <c r="B300" i="2"/>
  <c r="H300" i="2" s="1"/>
  <c r="B299" i="2"/>
  <c r="H299" i="2" s="1"/>
  <c r="B298" i="2"/>
  <c r="H298" i="2" s="1"/>
  <c r="B297" i="2"/>
  <c r="H297" i="2" s="1"/>
  <c r="B296" i="2"/>
  <c r="H296" i="2" s="1"/>
  <c r="B295" i="2"/>
  <c r="H295" i="2" s="1"/>
  <c r="B294" i="2"/>
  <c r="H294" i="2" s="1"/>
  <c r="B293" i="2"/>
  <c r="H293" i="2" s="1"/>
  <c r="B292" i="2"/>
  <c r="H292" i="2" s="1"/>
  <c r="B291" i="2"/>
  <c r="H291" i="2" s="1"/>
  <c r="B290" i="2"/>
  <c r="H290" i="2" s="1"/>
  <c r="B289" i="2"/>
  <c r="H289" i="2" s="1"/>
  <c r="B288" i="2"/>
  <c r="H288" i="2" s="1"/>
  <c r="B287" i="2"/>
  <c r="H287" i="2" s="1"/>
  <c r="B286" i="2"/>
  <c r="H286" i="2" s="1"/>
  <c r="B285" i="2"/>
  <c r="H285" i="2" s="1"/>
  <c r="B284" i="2"/>
  <c r="H284" i="2" s="1"/>
  <c r="B283" i="2"/>
  <c r="H283" i="2" s="1"/>
  <c r="B282" i="2"/>
  <c r="H282" i="2" s="1"/>
  <c r="B281" i="2"/>
  <c r="H281" i="2" s="1"/>
  <c r="B280" i="2"/>
  <c r="H280" i="2" s="1"/>
  <c r="D279" i="2"/>
  <c r="C279" i="2"/>
  <c r="B279" i="2"/>
  <c r="H279" i="2" s="1"/>
  <c r="D278" i="2"/>
  <c r="C278" i="2"/>
  <c r="B278" i="2"/>
  <c r="H278" i="2" s="1"/>
  <c r="D277" i="2"/>
  <c r="C277" i="2"/>
  <c r="B277" i="2"/>
  <c r="H277" i="2" s="1"/>
  <c r="D276" i="2"/>
  <c r="C276" i="2"/>
  <c r="B276" i="2"/>
  <c r="H276" i="2" s="1"/>
  <c r="D275" i="2"/>
  <c r="C275" i="2"/>
  <c r="B275" i="2"/>
  <c r="H275" i="2" s="1"/>
  <c r="D274" i="2"/>
  <c r="C274" i="2"/>
  <c r="B274" i="2"/>
  <c r="H274" i="2" s="1"/>
  <c r="D273" i="2"/>
  <c r="C273" i="2"/>
  <c r="B273" i="2"/>
  <c r="H273" i="2" s="1"/>
  <c r="D272" i="2"/>
  <c r="C272" i="2"/>
  <c r="B272" i="2"/>
  <c r="H272" i="2" s="1"/>
  <c r="D271" i="2"/>
  <c r="C271" i="2"/>
  <c r="B271" i="2"/>
  <c r="H271" i="2" s="1"/>
  <c r="D270" i="2"/>
  <c r="C270" i="2"/>
  <c r="B270" i="2"/>
  <c r="H270" i="2" s="1"/>
  <c r="D269" i="2"/>
  <c r="C269" i="2"/>
  <c r="B269" i="2"/>
  <c r="H269" i="2" s="1"/>
  <c r="D268" i="2"/>
  <c r="C268" i="2"/>
  <c r="B268" i="2"/>
  <c r="H268" i="2" s="1"/>
  <c r="D267" i="2"/>
  <c r="C267" i="2"/>
  <c r="B267" i="2"/>
  <c r="H267" i="2" s="1"/>
  <c r="D266" i="2"/>
  <c r="C266" i="2"/>
  <c r="B266" i="2"/>
  <c r="H266" i="2" s="1"/>
  <c r="D265" i="2"/>
  <c r="C265" i="2"/>
  <c r="B265" i="2"/>
  <c r="H265" i="2" s="1"/>
  <c r="D264" i="2"/>
  <c r="C264" i="2"/>
  <c r="B264" i="2"/>
  <c r="H264" i="2" s="1"/>
  <c r="D263" i="2"/>
  <c r="C263" i="2"/>
  <c r="B263" i="2"/>
  <c r="H263" i="2" s="1"/>
  <c r="D262" i="2"/>
  <c r="C262" i="2"/>
  <c r="B262" i="2"/>
  <c r="H262" i="2" s="1"/>
  <c r="D261" i="2"/>
  <c r="C261" i="2"/>
  <c r="B261" i="2"/>
  <c r="H261" i="2" s="1"/>
  <c r="D260" i="2"/>
  <c r="C260" i="2"/>
  <c r="B260" i="2"/>
  <c r="H260" i="2" s="1"/>
  <c r="D259" i="2"/>
  <c r="C259" i="2"/>
  <c r="B259" i="2"/>
  <c r="H259" i="2" s="1"/>
  <c r="D258" i="2"/>
  <c r="C258" i="2"/>
  <c r="B258" i="2"/>
  <c r="H258" i="2" s="1"/>
  <c r="D257" i="2"/>
  <c r="C257" i="2"/>
  <c r="B257" i="2"/>
  <c r="H257" i="2" s="1"/>
  <c r="D256" i="2"/>
  <c r="C256" i="2"/>
  <c r="B256" i="2"/>
  <c r="H256" i="2" s="1"/>
  <c r="D255" i="2"/>
  <c r="C255" i="2"/>
  <c r="B255" i="2"/>
  <c r="H255" i="2" s="1"/>
  <c r="D254" i="2"/>
  <c r="C254" i="2"/>
  <c r="B254" i="2"/>
  <c r="H254" i="2" s="1"/>
  <c r="D253" i="2"/>
  <c r="C253" i="2"/>
  <c r="B253" i="2"/>
  <c r="H253" i="2" s="1"/>
  <c r="D252" i="2"/>
  <c r="C252" i="2"/>
  <c r="B252" i="2"/>
  <c r="H252" i="2" s="1"/>
  <c r="D251" i="2"/>
  <c r="C251" i="2"/>
  <c r="B251" i="2"/>
  <c r="H251" i="2" s="1"/>
  <c r="D250" i="2"/>
  <c r="C250" i="2"/>
  <c r="B250" i="2"/>
  <c r="H250" i="2" s="1"/>
  <c r="D249" i="2"/>
  <c r="C249" i="2"/>
  <c r="B249" i="2"/>
  <c r="H249" i="2" s="1"/>
  <c r="D248" i="2"/>
  <c r="C248" i="2"/>
  <c r="B248" i="2"/>
  <c r="H248" i="2" s="1"/>
  <c r="D247" i="2"/>
  <c r="C247" i="2"/>
  <c r="B247" i="2"/>
  <c r="H247" i="2" s="1"/>
  <c r="D246" i="2"/>
  <c r="C246" i="2"/>
  <c r="B246" i="2"/>
  <c r="H246" i="2" s="1"/>
  <c r="D245" i="2"/>
  <c r="C245" i="2"/>
  <c r="B245" i="2"/>
  <c r="H245" i="2" s="1"/>
  <c r="D244" i="2"/>
  <c r="C244" i="2"/>
  <c r="B244" i="2"/>
  <c r="H244" i="2" s="1"/>
  <c r="D243" i="2"/>
  <c r="C243" i="2"/>
  <c r="B243" i="2"/>
  <c r="H243" i="2" s="1"/>
  <c r="D242" i="2"/>
  <c r="C242" i="2"/>
  <c r="B242" i="2"/>
  <c r="H242" i="2" s="1"/>
  <c r="D241" i="2"/>
  <c r="C241" i="2"/>
  <c r="B241" i="2"/>
  <c r="H241" i="2" s="1"/>
  <c r="D240" i="2"/>
  <c r="C240" i="2"/>
  <c r="B240" i="2"/>
  <c r="H240" i="2" s="1"/>
  <c r="D239" i="2"/>
  <c r="C239" i="2"/>
  <c r="B239" i="2"/>
  <c r="H239" i="2" s="1"/>
  <c r="D238" i="2"/>
  <c r="C238" i="2"/>
  <c r="B238" i="2"/>
  <c r="H238" i="2" s="1"/>
  <c r="D237" i="2"/>
  <c r="C237" i="2"/>
  <c r="B237" i="2"/>
  <c r="H237" i="2" s="1"/>
  <c r="D236" i="2"/>
  <c r="C236" i="2"/>
  <c r="B236" i="2"/>
  <c r="H236" i="2" s="1"/>
  <c r="D235" i="2"/>
  <c r="C235" i="2"/>
  <c r="B235" i="2"/>
  <c r="H235" i="2" s="1"/>
  <c r="D234" i="2"/>
  <c r="C234" i="2"/>
  <c r="B234" i="2"/>
  <c r="H234" i="2" s="1"/>
  <c r="H233" i="2"/>
  <c r="D233" i="2"/>
  <c r="C233" i="2"/>
  <c r="B233" i="2"/>
  <c r="D232" i="2"/>
  <c r="C232" i="2"/>
  <c r="B232" i="2"/>
  <c r="H232" i="2" s="1"/>
  <c r="D231" i="2"/>
  <c r="C231" i="2"/>
  <c r="B231" i="2"/>
  <c r="H231" i="2" s="1"/>
  <c r="D230" i="2"/>
  <c r="C230" i="2"/>
  <c r="B230" i="2"/>
  <c r="H230" i="2" s="1"/>
  <c r="D229" i="2"/>
  <c r="C229" i="2"/>
  <c r="B229" i="2"/>
  <c r="H229" i="2" s="1"/>
  <c r="D228" i="2"/>
  <c r="C228" i="2"/>
  <c r="B228" i="2"/>
  <c r="H228" i="2" s="1"/>
  <c r="D227" i="2"/>
  <c r="C227" i="2"/>
  <c r="B227" i="2"/>
  <c r="H227" i="2" s="1"/>
  <c r="D226" i="2"/>
  <c r="C226" i="2"/>
  <c r="B226" i="2"/>
  <c r="H226" i="2" s="1"/>
  <c r="D225" i="2"/>
  <c r="C225" i="2"/>
  <c r="B225" i="2"/>
  <c r="H225" i="2" s="1"/>
  <c r="D224" i="2"/>
  <c r="C224" i="2"/>
  <c r="B224" i="2"/>
  <c r="H224" i="2" s="1"/>
  <c r="D223" i="2"/>
  <c r="C223" i="2"/>
  <c r="B223" i="2"/>
  <c r="H223" i="2" s="1"/>
  <c r="D222" i="2"/>
  <c r="C222" i="2"/>
  <c r="B222" i="2"/>
  <c r="H222" i="2" s="1"/>
  <c r="D221" i="2"/>
  <c r="C221" i="2"/>
  <c r="B221" i="2"/>
  <c r="H221" i="2" s="1"/>
  <c r="D220" i="2"/>
  <c r="C220" i="2"/>
  <c r="B220" i="2"/>
  <c r="H220" i="2" s="1"/>
  <c r="D219" i="2"/>
  <c r="C219" i="2"/>
  <c r="B219" i="2"/>
  <c r="H219" i="2" s="1"/>
  <c r="D218" i="2"/>
  <c r="C218" i="2"/>
  <c r="B218" i="2"/>
  <c r="H218" i="2" s="1"/>
  <c r="D217" i="2"/>
  <c r="C217" i="2"/>
  <c r="B217" i="2"/>
  <c r="H217" i="2" s="1"/>
  <c r="D216" i="2"/>
  <c r="C216" i="2"/>
  <c r="B216" i="2"/>
  <c r="H216" i="2" s="1"/>
  <c r="D215" i="2"/>
  <c r="C215" i="2"/>
  <c r="B215" i="2"/>
  <c r="H215" i="2" s="1"/>
  <c r="D214" i="2"/>
  <c r="C214" i="2"/>
  <c r="B214" i="2"/>
  <c r="H214" i="2" s="1"/>
  <c r="D213" i="2"/>
  <c r="C213" i="2"/>
  <c r="B213" i="2"/>
  <c r="H213" i="2" s="1"/>
  <c r="D212" i="2"/>
  <c r="C212" i="2"/>
  <c r="B212" i="2"/>
  <c r="H212" i="2" s="1"/>
  <c r="D211" i="2"/>
  <c r="C211" i="2"/>
  <c r="B211" i="2"/>
  <c r="H211" i="2" s="1"/>
  <c r="D210" i="2"/>
  <c r="C210" i="2"/>
  <c r="B210" i="2"/>
  <c r="H210" i="2" s="1"/>
  <c r="D209" i="2"/>
  <c r="C209" i="2"/>
  <c r="B209" i="2"/>
  <c r="H209" i="2" s="1"/>
  <c r="D208" i="2"/>
  <c r="C208" i="2"/>
  <c r="B208" i="2"/>
  <c r="H208" i="2" s="1"/>
  <c r="D207" i="2"/>
  <c r="C207" i="2"/>
  <c r="B207" i="2"/>
  <c r="H207" i="2" s="1"/>
  <c r="D206" i="2"/>
  <c r="C206" i="2"/>
  <c r="B206" i="2"/>
  <c r="H206" i="2" s="1"/>
  <c r="D205" i="2"/>
  <c r="C205" i="2"/>
  <c r="B205" i="2"/>
  <c r="H205" i="2" s="1"/>
  <c r="D204" i="2"/>
  <c r="C204" i="2"/>
  <c r="B204" i="2"/>
  <c r="H204" i="2" s="1"/>
  <c r="D203" i="2"/>
  <c r="C203" i="2"/>
  <c r="B203" i="2"/>
  <c r="H203" i="2" s="1"/>
  <c r="D202" i="2"/>
  <c r="C202" i="2"/>
  <c r="B202" i="2"/>
  <c r="H202" i="2" s="1"/>
  <c r="D201" i="2"/>
  <c r="C201" i="2"/>
  <c r="B201" i="2"/>
  <c r="H201" i="2" s="1"/>
  <c r="D200" i="2"/>
  <c r="C200" i="2"/>
  <c r="B200" i="2"/>
  <c r="H200" i="2" s="1"/>
  <c r="D199" i="2"/>
  <c r="C199" i="2"/>
  <c r="B199" i="2"/>
  <c r="H199" i="2" s="1"/>
  <c r="D198" i="2"/>
  <c r="C198" i="2"/>
  <c r="B198" i="2"/>
  <c r="H198" i="2" s="1"/>
  <c r="D197" i="2"/>
  <c r="C197" i="2"/>
  <c r="B197" i="2"/>
  <c r="H197" i="2" s="1"/>
  <c r="D196" i="2"/>
  <c r="C196" i="2"/>
  <c r="B196" i="2"/>
  <c r="H196" i="2" s="1"/>
  <c r="D195" i="2"/>
  <c r="C195" i="2"/>
  <c r="B195" i="2"/>
  <c r="H195" i="2" s="1"/>
  <c r="D194" i="2"/>
  <c r="C194" i="2"/>
  <c r="B194" i="2"/>
  <c r="H194" i="2" s="1"/>
  <c r="D193" i="2"/>
  <c r="C193" i="2"/>
  <c r="B193" i="2"/>
  <c r="H193" i="2" s="1"/>
  <c r="D192" i="2"/>
  <c r="C192" i="2"/>
  <c r="B192" i="2"/>
  <c r="H192" i="2" s="1"/>
  <c r="D191" i="2"/>
  <c r="C191" i="2"/>
  <c r="B191" i="2"/>
  <c r="H191" i="2" s="1"/>
  <c r="D190" i="2"/>
  <c r="C190" i="2"/>
  <c r="B190" i="2"/>
  <c r="H190" i="2" s="1"/>
  <c r="D189" i="2"/>
  <c r="C189" i="2"/>
  <c r="B189" i="2"/>
  <c r="H189" i="2" s="1"/>
  <c r="D188" i="2"/>
  <c r="C188" i="2"/>
  <c r="B188" i="2"/>
  <c r="H188" i="2" s="1"/>
  <c r="D187" i="2"/>
  <c r="C187" i="2"/>
  <c r="B187" i="2"/>
  <c r="H187" i="2" s="1"/>
  <c r="D186" i="2"/>
  <c r="C186" i="2"/>
  <c r="B186" i="2"/>
  <c r="H186" i="2" s="1"/>
  <c r="D185" i="2"/>
  <c r="C185" i="2"/>
  <c r="B185" i="2"/>
  <c r="H185" i="2" s="1"/>
  <c r="D184" i="2"/>
  <c r="C184" i="2"/>
  <c r="B184" i="2"/>
  <c r="H184" i="2" s="1"/>
  <c r="D183" i="2"/>
  <c r="C183" i="2"/>
  <c r="B183" i="2"/>
  <c r="H183" i="2" s="1"/>
  <c r="D182" i="2"/>
  <c r="C182" i="2"/>
  <c r="B182" i="2"/>
  <c r="H182" i="2" s="1"/>
  <c r="D181" i="2"/>
  <c r="C181" i="2"/>
  <c r="B181" i="2"/>
  <c r="H181" i="2" s="1"/>
  <c r="D180" i="2"/>
  <c r="C180" i="2"/>
  <c r="B180" i="2"/>
  <c r="H180" i="2" s="1"/>
  <c r="D179" i="2"/>
  <c r="C179" i="2"/>
  <c r="B179" i="2"/>
  <c r="H179" i="2" s="1"/>
  <c r="D178" i="2"/>
  <c r="C178" i="2"/>
  <c r="B178" i="2"/>
  <c r="H178" i="2" s="1"/>
  <c r="D177" i="2"/>
  <c r="C177" i="2"/>
  <c r="B177" i="2"/>
  <c r="H177" i="2" s="1"/>
  <c r="D176" i="2"/>
  <c r="C176" i="2"/>
  <c r="B176" i="2"/>
  <c r="H176" i="2" s="1"/>
  <c r="D175" i="2"/>
  <c r="C175" i="2"/>
  <c r="B175" i="2"/>
  <c r="H175" i="2" s="1"/>
  <c r="D174" i="2"/>
  <c r="C174" i="2"/>
  <c r="B174" i="2"/>
  <c r="H174" i="2" s="1"/>
  <c r="D173" i="2"/>
  <c r="C173" i="2"/>
  <c r="B173" i="2"/>
  <c r="H173" i="2" s="1"/>
  <c r="D172" i="2"/>
  <c r="C172" i="2"/>
  <c r="B172" i="2"/>
  <c r="H172" i="2" s="1"/>
  <c r="D171" i="2"/>
  <c r="C171" i="2"/>
  <c r="B171" i="2"/>
  <c r="H171" i="2" s="1"/>
  <c r="D170" i="2"/>
  <c r="C170" i="2"/>
  <c r="B170" i="2"/>
  <c r="H170" i="2" s="1"/>
  <c r="D169" i="2"/>
  <c r="C169" i="2"/>
  <c r="B169" i="2"/>
  <c r="H169" i="2" s="1"/>
  <c r="D168" i="2"/>
  <c r="C168" i="2"/>
  <c r="B168" i="2"/>
  <c r="H168" i="2" s="1"/>
  <c r="D167" i="2"/>
  <c r="C167" i="2"/>
  <c r="B167" i="2"/>
  <c r="H167" i="2" s="1"/>
  <c r="D166" i="2"/>
  <c r="C166" i="2"/>
  <c r="B166" i="2"/>
  <c r="H166" i="2" s="1"/>
  <c r="D165" i="2"/>
  <c r="C165" i="2"/>
  <c r="B165" i="2"/>
  <c r="H165" i="2" s="1"/>
  <c r="D164" i="2"/>
  <c r="C164" i="2"/>
  <c r="B164" i="2"/>
  <c r="H164" i="2" s="1"/>
  <c r="D163" i="2"/>
  <c r="C163" i="2"/>
  <c r="B163" i="2"/>
  <c r="H163" i="2" s="1"/>
  <c r="D162" i="2"/>
  <c r="C162" i="2"/>
  <c r="B162" i="2"/>
  <c r="H162" i="2" s="1"/>
  <c r="H161" i="2"/>
  <c r="D161" i="2"/>
  <c r="C161" i="2"/>
  <c r="B161" i="2"/>
  <c r="D160" i="2"/>
  <c r="C160" i="2"/>
  <c r="B160" i="2"/>
  <c r="H160" i="2" s="1"/>
  <c r="D159" i="2"/>
  <c r="C159" i="2"/>
  <c r="B159" i="2"/>
  <c r="H159" i="2" s="1"/>
  <c r="D158" i="2"/>
  <c r="C158" i="2"/>
  <c r="B158" i="2"/>
  <c r="H158" i="2" s="1"/>
  <c r="D157" i="2"/>
  <c r="C157" i="2"/>
  <c r="B157" i="2"/>
  <c r="H157" i="2" s="1"/>
  <c r="D156" i="2"/>
  <c r="C156" i="2"/>
  <c r="B156" i="2"/>
  <c r="H156" i="2" s="1"/>
  <c r="D155" i="2"/>
  <c r="C155" i="2"/>
  <c r="B155" i="2"/>
  <c r="H155" i="2" s="1"/>
  <c r="D154" i="2"/>
  <c r="C154" i="2"/>
  <c r="B154" i="2"/>
  <c r="H154" i="2" s="1"/>
  <c r="D153" i="2"/>
  <c r="C153" i="2"/>
  <c r="B153" i="2"/>
  <c r="H153" i="2" s="1"/>
  <c r="D152" i="2"/>
  <c r="C152" i="2"/>
  <c r="B152" i="2"/>
  <c r="H152" i="2" s="1"/>
  <c r="D151" i="2"/>
  <c r="C151" i="2"/>
  <c r="B151" i="2"/>
  <c r="H151" i="2" s="1"/>
  <c r="D150" i="2"/>
  <c r="C150" i="2"/>
  <c r="B150" i="2"/>
  <c r="H150" i="2" s="1"/>
  <c r="D149" i="2"/>
  <c r="C149" i="2"/>
  <c r="B149" i="2"/>
  <c r="H149" i="2" s="1"/>
  <c r="D148" i="2"/>
  <c r="C148" i="2"/>
  <c r="B148" i="2"/>
  <c r="H148" i="2" s="1"/>
  <c r="D147" i="2"/>
  <c r="C147" i="2"/>
  <c r="B147" i="2"/>
  <c r="H147" i="2" s="1"/>
  <c r="D146" i="2"/>
  <c r="C146" i="2"/>
  <c r="B146" i="2"/>
  <c r="H146" i="2" s="1"/>
  <c r="D145" i="2"/>
  <c r="C145" i="2"/>
  <c r="B145" i="2"/>
  <c r="H145" i="2" s="1"/>
  <c r="D144" i="2"/>
  <c r="C144" i="2"/>
  <c r="B144" i="2"/>
  <c r="H144" i="2" s="1"/>
  <c r="D143" i="2"/>
  <c r="C143" i="2"/>
  <c r="B143" i="2"/>
  <c r="H143" i="2" s="1"/>
  <c r="D142" i="2"/>
  <c r="C142" i="2"/>
  <c r="B142" i="2"/>
  <c r="H142" i="2" s="1"/>
  <c r="D141" i="2"/>
  <c r="C141" i="2"/>
  <c r="B141" i="2"/>
  <c r="H141" i="2" s="1"/>
  <c r="D140" i="2"/>
  <c r="C140" i="2"/>
  <c r="B140" i="2"/>
  <c r="H140" i="2" s="1"/>
  <c r="D139" i="2"/>
  <c r="C139" i="2"/>
  <c r="B139" i="2"/>
  <c r="H139" i="2" s="1"/>
  <c r="D138" i="2"/>
  <c r="C138" i="2"/>
  <c r="B138" i="2"/>
  <c r="H138" i="2" s="1"/>
  <c r="D137" i="2"/>
  <c r="C137" i="2"/>
  <c r="B137" i="2"/>
  <c r="H137" i="2" s="1"/>
  <c r="D136" i="2"/>
  <c r="C136" i="2"/>
  <c r="B136" i="2"/>
  <c r="H136" i="2" s="1"/>
  <c r="D135" i="2"/>
  <c r="C135" i="2"/>
  <c r="B135" i="2"/>
  <c r="H135" i="2" s="1"/>
  <c r="D134" i="2"/>
  <c r="C134" i="2"/>
  <c r="B134" i="2"/>
  <c r="H134" i="2" s="1"/>
  <c r="D133" i="2"/>
  <c r="C133" i="2"/>
  <c r="B133" i="2"/>
  <c r="H133" i="2" s="1"/>
  <c r="D132" i="2"/>
  <c r="C132" i="2"/>
  <c r="B132" i="2"/>
  <c r="H132" i="2" s="1"/>
  <c r="D131" i="2"/>
  <c r="C131" i="2"/>
  <c r="B131" i="2"/>
  <c r="H131" i="2" s="1"/>
  <c r="D130" i="2"/>
  <c r="C130" i="2"/>
  <c r="B130" i="2"/>
  <c r="H130" i="2" s="1"/>
  <c r="D129" i="2"/>
  <c r="C129" i="2"/>
  <c r="B129" i="2"/>
  <c r="H129" i="2" s="1"/>
  <c r="D128" i="2"/>
  <c r="C128" i="2"/>
  <c r="B128" i="2"/>
  <c r="H128" i="2" s="1"/>
  <c r="D127" i="2"/>
  <c r="C127" i="2"/>
  <c r="B127" i="2"/>
  <c r="H127" i="2" s="1"/>
  <c r="D126" i="2"/>
  <c r="C126" i="2"/>
  <c r="B126" i="2"/>
  <c r="H126" i="2" s="1"/>
  <c r="D125" i="2"/>
  <c r="C125" i="2"/>
  <c r="B125" i="2"/>
  <c r="H125" i="2" s="1"/>
  <c r="D124" i="2"/>
  <c r="C124" i="2"/>
  <c r="B124" i="2"/>
  <c r="H124" i="2" s="1"/>
  <c r="D123" i="2"/>
  <c r="C123" i="2"/>
  <c r="B123" i="2"/>
  <c r="H123" i="2" s="1"/>
  <c r="D122" i="2"/>
  <c r="C122" i="2"/>
  <c r="B122" i="2"/>
  <c r="H122" i="2" s="1"/>
  <c r="D121" i="2"/>
  <c r="C121" i="2"/>
  <c r="B121" i="2"/>
  <c r="H121" i="2" s="1"/>
  <c r="D120" i="2"/>
  <c r="C120" i="2"/>
  <c r="B120" i="2"/>
  <c r="H120" i="2" s="1"/>
  <c r="D119" i="2"/>
  <c r="C119" i="2"/>
  <c r="B119" i="2"/>
  <c r="H119" i="2" s="1"/>
  <c r="D118" i="2"/>
  <c r="C118" i="2"/>
  <c r="B118" i="2"/>
  <c r="H118" i="2" s="1"/>
  <c r="D117" i="2"/>
  <c r="C117" i="2"/>
  <c r="B117" i="2"/>
  <c r="H117" i="2" s="1"/>
  <c r="D116" i="2"/>
  <c r="C116" i="2"/>
  <c r="B116" i="2"/>
  <c r="H116" i="2" s="1"/>
  <c r="D115" i="2"/>
  <c r="C115" i="2"/>
  <c r="B115" i="2"/>
  <c r="H115" i="2" s="1"/>
  <c r="D114" i="2"/>
  <c r="C114" i="2"/>
  <c r="B114" i="2"/>
  <c r="H114" i="2" s="1"/>
  <c r="D113" i="2"/>
  <c r="C113" i="2"/>
  <c r="B113" i="2"/>
  <c r="H113" i="2" s="1"/>
  <c r="D112" i="2"/>
  <c r="C112" i="2"/>
  <c r="B112" i="2"/>
  <c r="H112" i="2" s="1"/>
  <c r="D111" i="2"/>
  <c r="C111" i="2"/>
  <c r="B111" i="2"/>
  <c r="H111" i="2" s="1"/>
  <c r="D110" i="2"/>
  <c r="C110" i="2"/>
  <c r="B110" i="2"/>
  <c r="H110" i="2" s="1"/>
  <c r="D109" i="2"/>
  <c r="C109" i="2"/>
  <c r="B109" i="2"/>
  <c r="H109" i="2" s="1"/>
  <c r="D108" i="2"/>
  <c r="C108" i="2"/>
  <c r="B108" i="2"/>
  <c r="H108" i="2" s="1"/>
  <c r="D107" i="2"/>
  <c r="C107" i="2"/>
  <c r="B107" i="2"/>
  <c r="H107" i="2" s="1"/>
  <c r="D106" i="2"/>
  <c r="C106" i="2"/>
  <c r="B106" i="2"/>
  <c r="H106" i="2" s="1"/>
  <c r="D105" i="2"/>
  <c r="C105" i="2"/>
  <c r="B105" i="2"/>
  <c r="H105" i="2" s="1"/>
  <c r="D104" i="2"/>
  <c r="C104" i="2"/>
  <c r="B104" i="2"/>
  <c r="H104" i="2" s="1"/>
  <c r="D103" i="2"/>
  <c r="C103" i="2"/>
  <c r="B103" i="2"/>
  <c r="H103" i="2" s="1"/>
  <c r="D102" i="2"/>
  <c r="C102" i="2"/>
  <c r="B102" i="2"/>
  <c r="H102" i="2" s="1"/>
  <c r="D101" i="2"/>
  <c r="C101" i="2"/>
  <c r="B101" i="2"/>
  <c r="H101" i="2" s="1"/>
  <c r="D100" i="2"/>
  <c r="C100" i="2"/>
  <c r="B100" i="2"/>
  <c r="H100" i="2" s="1"/>
  <c r="D99" i="2"/>
  <c r="C99" i="2"/>
  <c r="B99" i="2"/>
  <c r="H99" i="2" s="1"/>
  <c r="D98" i="2"/>
  <c r="C98" i="2"/>
  <c r="B98" i="2"/>
  <c r="H98" i="2" s="1"/>
  <c r="D97" i="2"/>
  <c r="C97" i="2"/>
  <c r="B97" i="2"/>
  <c r="H97" i="2" s="1"/>
  <c r="D96" i="2"/>
  <c r="C96" i="2"/>
  <c r="B96" i="2"/>
  <c r="H96" i="2" s="1"/>
  <c r="D95" i="2"/>
  <c r="C95" i="2"/>
  <c r="B95" i="2"/>
  <c r="H95" i="2" s="1"/>
  <c r="D94" i="2"/>
  <c r="C94" i="2"/>
  <c r="B94" i="2"/>
  <c r="H94" i="2" s="1"/>
  <c r="D93" i="2"/>
  <c r="C93" i="2"/>
  <c r="B93" i="2"/>
  <c r="H93" i="2" s="1"/>
  <c r="D92" i="2"/>
  <c r="C92" i="2"/>
  <c r="B92" i="2"/>
  <c r="H92" i="2" s="1"/>
  <c r="D91" i="2"/>
  <c r="C91" i="2"/>
  <c r="B91" i="2"/>
  <c r="H91" i="2" s="1"/>
  <c r="D90" i="2"/>
  <c r="C90" i="2"/>
  <c r="B90" i="2"/>
  <c r="H90" i="2" s="1"/>
  <c r="D89" i="2"/>
  <c r="C89" i="2"/>
  <c r="B89" i="2"/>
  <c r="H89" i="2" s="1"/>
  <c r="D88" i="2"/>
  <c r="C88" i="2"/>
  <c r="B88" i="2"/>
  <c r="H88" i="2" s="1"/>
  <c r="D87" i="2"/>
  <c r="C87" i="2"/>
  <c r="B87" i="2"/>
  <c r="H87" i="2" s="1"/>
  <c r="D86" i="2"/>
  <c r="C86" i="2"/>
  <c r="B86" i="2"/>
  <c r="H86" i="2" s="1"/>
  <c r="D85" i="2"/>
  <c r="C85" i="2"/>
  <c r="B85" i="2"/>
  <c r="H85" i="2" s="1"/>
  <c r="D84" i="2"/>
  <c r="C84" i="2"/>
  <c r="B84" i="2"/>
  <c r="H84" i="2" s="1"/>
  <c r="D83" i="2"/>
  <c r="C83" i="2"/>
  <c r="B83" i="2"/>
  <c r="H83" i="2" s="1"/>
  <c r="D82" i="2"/>
  <c r="C82" i="2"/>
  <c r="B82" i="2"/>
  <c r="H82" i="2" s="1"/>
  <c r="D81" i="2"/>
  <c r="C81" i="2"/>
  <c r="B81" i="2"/>
  <c r="H81" i="2" s="1"/>
  <c r="D80" i="2"/>
  <c r="C80" i="2"/>
  <c r="B80" i="2"/>
  <c r="H80" i="2" s="1"/>
  <c r="D79" i="2"/>
  <c r="C79" i="2"/>
  <c r="B79" i="2"/>
  <c r="H79" i="2" s="1"/>
  <c r="D78" i="2"/>
  <c r="C78" i="2"/>
  <c r="B78" i="2"/>
  <c r="H78" i="2" s="1"/>
  <c r="D77" i="2"/>
  <c r="C77" i="2"/>
  <c r="B77" i="2"/>
  <c r="H77" i="2" s="1"/>
  <c r="D76" i="2"/>
  <c r="C76" i="2"/>
  <c r="B76" i="2"/>
  <c r="H76" i="2" s="1"/>
  <c r="D75" i="2"/>
  <c r="C75" i="2"/>
  <c r="B75" i="2"/>
  <c r="H75" i="2" s="1"/>
  <c r="D74" i="2"/>
  <c r="C74" i="2"/>
  <c r="B74" i="2"/>
  <c r="H74" i="2" s="1"/>
  <c r="D73" i="2"/>
  <c r="C73" i="2"/>
  <c r="B73" i="2"/>
  <c r="H73" i="2" s="1"/>
  <c r="D72" i="2"/>
  <c r="C72" i="2"/>
  <c r="B72" i="2"/>
  <c r="H72" i="2" s="1"/>
  <c r="D71" i="2"/>
  <c r="C71" i="2"/>
  <c r="B71" i="2"/>
  <c r="H71" i="2" s="1"/>
  <c r="H70" i="2"/>
  <c r="D70" i="2"/>
  <c r="C70" i="2"/>
  <c r="B70" i="2"/>
  <c r="D69" i="2"/>
  <c r="C69" i="2"/>
  <c r="B69" i="2"/>
  <c r="H69" i="2" s="1"/>
  <c r="D68" i="2"/>
  <c r="C68" i="2"/>
  <c r="B68" i="2"/>
  <c r="H68" i="2" s="1"/>
  <c r="D67" i="2"/>
  <c r="C67" i="2"/>
  <c r="B67" i="2"/>
  <c r="H67" i="2" s="1"/>
  <c r="D66" i="2"/>
  <c r="C66" i="2"/>
  <c r="B66" i="2"/>
  <c r="H66" i="2" s="1"/>
  <c r="D65" i="2"/>
  <c r="C65" i="2"/>
  <c r="B65" i="2"/>
  <c r="H65" i="2" s="1"/>
  <c r="D64" i="2"/>
  <c r="C64" i="2"/>
  <c r="B64" i="2"/>
  <c r="H64" i="2" s="1"/>
  <c r="D63" i="2"/>
  <c r="C63" i="2"/>
  <c r="B63" i="2"/>
  <c r="H63" i="2" s="1"/>
  <c r="D62" i="2"/>
  <c r="C62" i="2"/>
  <c r="B62" i="2"/>
  <c r="H62" i="2" s="1"/>
  <c r="D61" i="2"/>
  <c r="C61" i="2"/>
  <c r="B61" i="2"/>
  <c r="H61" i="2" s="1"/>
  <c r="D60" i="2"/>
  <c r="C60" i="2"/>
  <c r="B60" i="2"/>
  <c r="H60" i="2" s="1"/>
  <c r="D59" i="2"/>
  <c r="C59" i="2"/>
  <c r="B59" i="2"/>
  <c r="H59" i="2" s="1"/>
  <c r="D58" i="2"/>
  <c r="C58" i="2"/>
  <c r="B58" i="2"/>
  <c r="H58" i="2" s="1"/>
  <c r="D57" i="2"/>
  <c r="C57" i="2"/>
  <c r="B57" i="2"/>
  <c r="H57" i="2" s="1"/>
  <c r="D56" i="2"/>
  <c r="C56" i="2"/>
  <c r="B56" i="2"/>
  <c r="H56" i="2" s="1"/>
  <c r="D55" i="2"/>
  <c r="C55" i="2"/>
  <c r="B55" i="2"/>
  <c r="H55" i="2" s="1"/>
  <c r="D54" i="2"/>
  <c r="C54" i="2"/>
  <c r="B54" i="2"/>
  <c r="H54" i="2" s="1"/>
  <c r="D53" i="2"/>
  <c r="C53" i="2"/>
  <c r="B53" i="2"/>
  <c r="H53" i="2" s="1"/>
  <c r="D52" i="2"/>
  <c r="C52" i="2"/>
  <c r="B52" i="2"/>
  <c r="H52" i="2" s="1"/>
  <c r="D51" i="2"/>
  <c r="C51" i="2"/>
  <c r="B51" i="2"/>
  <c r="H51" i="2" s="1"/>
  <c r="D50" i="2"/>
  <c r="C50" i="2"/>
  <c r="B50" i="2"/>
  <c r="H50" i="2" s="1"/>
  <c r="D49" i="2"/>
  <c r="C49" i="2"/>
  <c r="B49" i="2"/>
  <c r="H49" i="2" s="1"/>
  <c r="D48" i="2"/>
  <c r="C48" i="2"/>
  <c r="B48" i="2"/>
  <c r="H48" i="2" s="1"/>
  <c r="D47" i="2"/>
  <c r="C47" i="2"/>
  <c r="B47" i="2"/>
  <c r="H47" i="2" s="1"/>
  <c r="D46" i="2"/>
  <c r="C46" i="2"/>
  <c r="B46" i="2"/>
  <c r="H46" i="2" s="1"/>
  <c r="D45" i="2"/>
  <c r="C45" i="2"/>
  <c r="B45" i="2"/>
  <c r="H45" i="2" s="1"/>
  <c r="D44" i="2"/>
  <c r="C44" i="2"/>
  <c r="B44" i="2"/>
  <c r="H44" i="2" s="1"/>
  <c r="D43" i="2"/>
  <c r="C43" i="2"/>
  <c r="B43" i="2"/>
  <c r="H43" i="2" s="1"/>
  <c r="D42" i="2"/>
  <c r="C42" i="2"/>
  <c r="B42" i="2"/>
  <c r="H42" i="2" s="1"/>
  <c r="D41" i="2"/>
  <c r="C41" i="2"/>
  <c r="B41" i="2"/>
  <c r="H41" i="2" s="1"/>
  <c r="D40" i="2"/>
  <c r="C40" i="2"/>
  <c r="B40" i="2"/>
  <c r="H40" i="2" s="1"/>
  <c r="D39" i="2"/>
  <c r="C39" i="2"/>
  <c r="B39" i="2"/>
  <c r="H39" i="2" s="1"/>
  <c r="D38" i="2"/>
  <c r="C38" i="2"/>
  <c r="B38" i="2"/>
  <c r="H38" i="2" s="1"/>
  <c r="D37" i="2"/>
  <c r="C37" i="2"/>
  <c r="B37" i="2"/>
  <c r="H37" i="2" s="1"/>
  <c r="D36" i="2"/>
  <c r="C36" i="2"/>
  <c r="B36" i="2"/>
  <c r="H36" i="2" s="1"/>
  <c r="D35" i="2"/>
  <c r="C35" i="2"/>
  <c r="B35" i="2"/>
  <c r="H35" i="2" s="1"/>
  <c r="D34" i="2"/>
  <c r="C34" i="2"/>
  <c r="B34" i="2"/>
  <c r="H34" i="2" s="1"/>
  <c r="D33" i="2"/>
  <c r="C33" i="2"/>
  <c r="B33" i="2"/>
  <c r="H33" i="2" s="1"/>
  <c r="D32" i="2"/>
  <c r="C32" i="2"/>
  <c r="B32" i="2"/>
  <c r="H32" i="2" s="1"/>
  <c r="D31" i="2"/>
  <c r="C31" i="2"/>
  <c r="B31" i="2"/>
  <c r="H31" i="2" s="1"/>
  <c r="D30" i="2"/>
  <c r="C30" i="2"/>
  <c r="B30" i="2"/>
  <c r="H30" i="2" s="1"/>
  <c r="D29" i="2"/>
  <c r="C29" i="2"/>
  <c r="B29" i="2"/>
  <c r="H29" i="2" s="1"/>
  <c r="D28" i="2"/>
  <c r="C28" i="2"/>
  <c r="B28" i="2"/>
  <c r="H28" i="2" s="1"/>
  <c r="D27" i="2"/>
  <c r="C27" i="2"/>
  <c r="B27" i="2"/>
  <c r="H27" i="2" s="1"/>
  <c r="D26" i="2"/>
  <c r="C26" i="2"/>
  <c r="B26" i="2"/>
  <c r="H26" i="2" s="1"/>
  <c r="D25" i="2"/>
  <c r="C25" i="2"/>
  <c r="B25" i="2"/>
  <c r="H25" i="2" s="1"/>
  <c r="D24" i="2"/>
  <c r="C24" i="2"/>
  <c r="B24" i="2"/>
  <c r="H24" i="2" s="1"/>
  <c r="D23" i="2"/>
  <c r="C23" i="2"/>
  <c r="B23" i="2"/>
  <c r="H23" i="2" s="1"/>
  <c r="D22" i="2"/>
  <c r="C22" i="2"/>
  <c r="B22" i="2"/>
  <c r="H22" i="2" s="1"/>
  <c r="D21" i="2"/>
  <c r="C21" i="2"/>
  <c r="B21" i="2"/>
  <c r="H21" i="2" s="1"/>
  <c r="D20" i="2"/>
  <c r="C20" i="2"/>
  <c r="B20" i="2"/>
  <c r="H20" i="2" s="1"/>
  <c r="D19" i="2"/>
  <c r="C19" i="2"/>
  <c r="B19" i="2"/>
  <c r="H19" i="2" s="1"/>
  <c r="D18" i="2"/>
  <c r="C18" i="2"/>
  <c r="B18" i="2"/>
  <c r="H18" i="2" s="1"/>
  <c r="D17" i="2"/>
  <c r="C17" i="2"/>
  <c r="B17" i="2"/>
  <c r="H17" i="2" s="1"/>
  <c r="D16" i="2"/>
  <c r="C16" i="2"/>
  <c r="B16" i="2"/>
  <c r="H16" i="2" s="1"/>
  <c r="D15" i="2"/>
  <c r="C15" i="2"/>
  <c r="B15" i="2"/>
  <c r="H15" i="2" s="1"/>
  <c r="D14" i="2"/>
  <c r="C14" i="2"/>
  <c r="B14" i="2"/>
  <c r="H14" i="2" s="1"/>
  <c r="D13" i="2"/>
  <c r="C13" i="2"/>
  <c r="B13" i="2"/>
  <c r="H13" i="2" s="1"/>
  <c r="D12" i="2"/>
  <c r="C12" i="2"/>
  <c r="B12" i="2"/>
  <c r="H12" i="2" s="1"/>
  <c r="D11" i="2"/>
  <c r="C11" i="2"/>
  <c r="B11" i="2"/>
  <c r="H11" i="2" s="1"/>
  <c r="D10" i="2"/>
  <c r="C10" i="2"/>
  <c r="B10" i="2"/>
  <c r="H10" i="2" s="1"/>
  <c r="D9" i="2"/>
  <c r="C9" i="2"/>
  <c r="B9" i="2"/>
  <c r="H9" i="2" s="1"/>
  <c r="D8" i="2"/>
  <c r="C8" i="2"/>
  <c r="B8" i="2"/>
  <c r="H8" i="2" s="1"/>
  <c r="D7" i="2"/>
  <c r="C7" i="2"/>
  <c r="B7" i="2"/>
  <c r="H7" i="2" s="1"/>
  <c r="D6" i="2"/>
  <c r="C6" i="2"/>
  <c r="B6" i="2"/>
  <c r="H6" i="2" s="1"/>
  <c r="D5" i="2"/>
  <c r="C5" i="2"/>
  <c r="B5" i="2"/>
  <c r="H5" i="2" s="1"/>
  <c r="D4" i="2"/>
  <c r="C4" i="2"/>
  <c r="B4" i="2"/>
  <c r="H4" i="2" s="1"/>
  <c r="D3" i="2"/>
  <c r="C3" i="2"/>
  <c r="B3" i="2"/>
  <c r="H3" i="2" s="1"/>
  <c r="D2" i="2"/>
  <c r="C2" i="2"/>
  <c r="B2" i="2"/>
  <c r="H2" i="2" s="1"/>
</calcChain>
</file>

<file path=xl/sharedStrings.xml><?xml version="1.0" encoding="utf-8"?>
<sst xmlns="http://schemas.openxmlformats.org/spreadsheetml/2006/main" count="1122" uniqueCount="564">
  <si>
    <t>料号</t>
    <phoneticPr fontId="2" type="noConversion"/>
  </si>
  <si>
    <t>捆绑</t>
    <phoneticPr fontId="2" type="noConversion"/>
  </si>
  <si>
    <t>描述</t>
    <phoneticPr fontId="2" type="noConversion"/>
  </si>
  <si>
    <t>备件类别</t>
    <phoneticPr fontId="2" type="noConversion"/>
  </si>
  <si>
    <t>库区</t>
    <phoneticPr fontId="2" type="noConversion"/>
  </si>
  <si>
    <t>欠料数量</t>
    <phoneticPr fontId="2" type="noConversion"/>
  </si>
  <si>
    <t>备注</t>
    <phoneticPr fontId="2" type="noConversion"/>
  </si>
  <si>
    <t>2025/9/30武汉库存</t>
    <phoneticPr fontId="2" type="noConversion"/>
  </si>
  <si>
    <t>302-000145</t>
  </si>
  <si>
    <t>济南</t>
    <phoneticPr fontId="2" type="noConversion"/>
  </si>
  <si>
    <t>nd3，北京供应或武汉供应</t>
    <phoneticPr fontId="2" type="noConversion"/>
  </si>
  <si>
    <t>302-000154</t>
    <phoneticPr fontId="2" type="noConversion"/>
  </si>
  <si>
    <t>广州</t>
    <phoneticPr fontId="2" type="noConversion"/>
  </si>
  <si>
    <t>nd1，厦门有1供应，十五所KJ185项目</t>
    <phoneticPr fontId="2" type="noConversion"/>
  </si>
  <si>
    <t>302-000159</t>
  </si>
  <si>
    <t>302-000224</t>
    <phoneticPr fontId="2" type="noConversion"/>
  </si>
  <si>
    <t>沈阳</t>
    <phoneticPr fontId="2" type="noConversion"/>
  </si>
  <si>
    <t>沈阳有750硬盘3pcs可替。产品白文飞：第三方应用的兼容需求，必须华为云、腾讯云啥的，如果没有就同69下750可以替换.2025/1/21韩洋回复这就一台机器，基本不涉及云类的应用。</t>
    <phoneticPr fontId="2" type="noConversion"/>
  </si>
  <si>
    <t>302-000298</t>
  </si>
  <si>
    <t>海口</t>
    <phoneticPr fontId="2" type="noConversion"/>
  </si>
  <si>
    <t>nd44，广州有302-000346 2pcs上级组件</t>
    <phoneticPr fontId="2" type="noConversion"/>
  </si>
  <si>
    <t>302-000370</t>
  </si>
  <si>
    <t>南京</t>
    <phoneticPr fontId="2" type="noConversion"/>
  </si>
  <si>
    <t>nd5，暂同合肥供应</t>
    <phoneticPr fontId="2" type="noConversion"/>
  </si>
  <si>
    <t>302-000471</t>
    <phoneticPr fontId="2" type="noConversion"/>
  </si>
  <si>
    <t>乌鲁木齐</t>
  </si>
  <si>
    <t>302-000471</t>
  </si>
  <si>
    <t>长春</t>
  </si>
  <si>
    <t>杭州</t>
  </si>
  <si>
    <t>上海</t>
    <phoneticPr fontId="2" type="noConversion"/>
  </si>
  <si>
    <t>厦门</t>
  </si>
  <si>
    <t>哈尔滨</t>
  </si>
  <si>
    <t>成都</t>
  </si>
  <si>
    <t>济南</t>
  </si>
  <si>
    <t>西安</t>
  </si>
  <si>
    <t>呼和浩特</t>
  </si>
  <si>
    <t>福州</t>
  </si>
  <si>
    <t>4H14,nd21</t>
    <phoneticPr fontId="2" type="noConversion"/>
  </si>
  <si>
    <t>广州</t>
  </si>
  <si>
    <t>太原</t>
  </si>
  <si>
    <t>302-001139</t>
  </si>
  <si>
    <t>nd3，北京有1共用</t>
    <phoneticPr fontId="2" type="noConversion"/>
  </si>
  <si>
    <t>nd14，北京1共用</t>
    <phoneticPr fontId="2" type="noConversion"/>
  </si>
  <si>
    <t>nd4，武汉人肉供应</t>
    <phoneticPr fontId="2" type="noConversion"/>
  </si>
  <si>
    <t>nd1，武汉人肉供应</t>
    <phoneticPr fontId="2" type="noConversion"/>
  </si>
  <si>
    <t>兰州</t>
  </si>
  <si>
    <t>nd2，武汉人肉供应</t>
    <phoneticPr fontId="2" type="noConversion"/>
  </si>
  <si>
    <t>上海</t>
  </si>
  <si>
    <t>海口</t>
  </si>
  <si>
    <t>石家庄</t>
  </si>
  <si>
    <t>nd3，北京供应</t>
    <phoneticPr fontId="2" type="noConversion"/>
  </si>
  <si>
    <t>nd2，武汉供应</t>
    <phoneticPr fontId="2" type="noConversion"/>
  </si>
  <si>
    <t>nd6，北京1共用</t>
    <phoneticPr fontId="2" type="noConversion"/>
  </si>
  <si>
    <t>贵阳</t>
  </si>
  <si>
    <t>nd3，武汉供应</t>
    <phoneticPr fontId="2" type="noConversion"/>
  </si>
  <si>
    <t>郑州</t>
    <phoneticPr fontId="2" type="noConversion"/>
  </si>
  <si>
    <t>nd6，武汉供应</t>
    <phoneticPr fontId="2" type="noConversion"/>
  </si>
  <si>
    <t>302-001823</t>
  </si>
  <si>
    <t>nd203，1290机箱线缆，只有武汉有库存供应</t>
    <phoneticPr fontId="2" type="noConversion"/>
  </si>
  <si>
    <t>302-001824</t>
  </si>
  <si>
    <t>302-001825</t>
  </si>
  <si>
    <t>302-001828</t>
  </si>
  <si>
    <t>302-001890</t>
  </si>
  <si>
    <t>nd1，北京供应，XNS集采项目第一批（2）简配件</t>
    <phoneticPr fontId="2" type="noConversion"/>
  </si>
  <si>
    <t>302-002100</t>
  </si>
  <si>
    <t>合肥</t>
    <phoneticPr fontId="2" type="noConversion"/>
  </si>
  <si>
    <t>nd27，A924物料，上海供应</t>
    <phoneticPr fontId="2" type="noConversion"/>
  </si>
  <si>
    <t>呼和浩特</t>
    <phoneticPr fontId="2" type="noConversion"/>
  </si>
  <si>
    <t>nd2，A924物料，北京供应</t>
    <phoneticPr fontId="2" type="noConversion"/>
  </si>
  <si>
    <t>302-002110</t>
  </si>
  <si>
    <t>302-002111</t>
  </si>
  <si>
    <t>福州</t>
    <phoneticPr fontId="2" type="noConversion"/>
  </si>
  <si>
    <t>nd10，广州1共用</t>
    <phoneticPr fontId="2" type="noConversion"/>
  </si>
  <si>
    <t>302-002120</t>
  </si>
  <si>
    <t>nd1，北京有1共用，从304000217拆解来</t>
    <phoneticPr fontId="2" type="noConversion"/>
  </si>
  <si>
    <t>nd1，武汉有1共用，从304000217拆解来</t>
    <phoneticPr fontId="2" type="noConversion"/>
  </si>
  <si>
    <t>302-002121</t>
  </si>
  <si>
    <t>302-002122</t>
  </si>
  <si>
    <t>nd4，武汉有1共用，从304000217拆解来</t>
    <phoneticPr fontId="2" type="noConversion"/>
  </si>
  <si>
    <t>302-002538</t>
  </si>
  <si>
    <t>nd1，稀缺件北京共用</t>
    <phoneticPr fontId="2" type="noConversion"/>
  </si>
  <si>
    <t>太原</t>
    <phoneticPr fontId="2" type="noConversion"/>
  </si>
  <si>
    <t>nd8，北京供应</t>
    <phoneticPr fontId="2" type="noConversion"/>
  </si>
  <si>
    <t>厦门</t>
    <phoneticPr fontId="2" type="noConversion"/>
  </si>
  <si>
    <t>nd28，福州供应</t>
    <phoneticPr fontId="2" type="noConversion"/>
  </si>
  <si>
    <t>302-002599</t>
  </si>
  <si>
    <t>哈尔滨</t>
    <phoneticPr fontId="2" type="noConversion"/>
  </si>
  <si>
    <t>nd16，A924物料，北京供应</t>
    <phoneticPr fontId="2" type="noConversion"/>
  </si>
  <si>
    <t>302-002601</t>
  </si>
  <si>
    <t>302-002602</t>
    <phoneticPr fontId="2" type="noConversion"/>
  </si>
  <si>
    <t>302-002603</t>
    <phoneticPr fontId="2" type="noConversion"/>
  </si>
  <si>
    <t>302-002604</t>
  </si>
  <si>
    <t>nd3,2H,华北救灾山西省极端天气监测能力提升工程（省气象信息中心）设备采购项目//昇腾910B设备包含2款线缆备件供货高风险预警，请昇腾产品经理提供解决方案，多谢。</t>
    <phoneticPr fontId="2" type="noConversion"/>
  </si>
  <si>
    <t>302-002605</t>
    <phoneticPr fontId="2" type="noConversion"/>
  </si>
  <si>
    <t>302-002608</t>
  </si>
  <si>
    <t>贵阳</t>
    <phoneticPr fontId="2" type="noConversion"/>
  </si>
  <si>
    <t>nd30，A924物料，成都1供应</t>
    <phoneticPr fontId="2" type="noConversion"/>
  </si>
  <si>
    <t>302-002617</t>
  </si>
  <si>
    <t>302-002617</t>
    <phoneticPr fontId="2" type="noConversion"/>
  </si>
  <si>
    <t>北京</t>
    <phoneticPr fontId="2" type="noConversion"/>
  </si>
  <si>
    <t>nd6,2H,太原有1供应，华北救灾山西省昇腾910B设备</t>
    <phoneticPr fontId="2" type="noConversion"/>
  </si>
  <si>
    <t>302-002625</t>
  </si>
  <si>
    <t>302-002633</t>
  </si>
  <si>
    <t>302-002639</t>
  </si>
  <si>
    <t>nd1，北京供应</t>
    <phoneticPr fontId="2" type="noConversion"/>
  </si>
  <si>
    <t>302-002668</t>
  </si>
  <si>
    <t>nd2，北京供应，XNS集采项目第一批（2）简配件</t>
    <phoneticPr fontId="2" type="noConversion"/>
  </si>
  <si>
    <t>302-002683</t>
    <phoneticPr fontId="2" type="noConversion"/>
  </si>
  <si>
    <t>302-002685</t>
  </si>
  <si>
    <t>nd8，备件无库存，大连理工大学A924的项目拆的乱七八糟出货，也不知最终出货有这个内存没，溯源没查到，公司有库存。要就临时转吧</t>
    <phoneticPr fontId="2" type="noConversion"/>
  </si>
  <si>
    <t>302-002710</t>
  </si>
  <si>
    <t>nd8，武汉供应，等转储</t>
    <phoneticPr fontId="2" type="noConversion"/>
  </si>
  <si>
    <t>nd3，北京供应，XNS集采项目第一批（2）简配件</t>
    <phoneticPr fontId="2" type="noConversion"/>
  </si>
  <si>
    <t>302-002751</t>
    <phoneticPr fontId="2" type="noConversion"/>
  </si>
  <si>
    <t>302-002842</t>
  </si>
  <si>
    <t>武汉</t>
    <phoneticPr fontId="2" type="noConversion"/>
  </si>
  <si>
    <t>nd4，北京有1供应或随时召回</t>
    <phoneticPr fontId="2" type="noConversion"/>
  </si>
  <si>
    <t>302-002842</t>
    <phoneticPr fontId="2" type="noConversion"/>
  </si>
  <si>
    <t>nd1，暂同北京供应</t>
    <phoneticPr fontId="2" type="noConversion"/>
  </si>
  <si>
    <t>302-002846</t>
  </si>
  <si>
    <t>nd1，北京有1供应</t>
    <phoneticPr fontId="2" type="noConversion"/>
  </si>
  <si>
    <t>西安</t>
    <phoneticPr fontId="2" type="noConversion"/>
  </si>
  <si>
    <t>nd32，武汉1供应</t>
    <phoneticPr fontId="2" type="noConversion"/>
  </si>
  <si>
    <t>302-002846</t>
    <phoneticPr fontId="2" type="noConversion"/>
  </si>
  <si>
    <t>成都</t>
    <phoneticPr fontId="2" type="noConversion"/>
  </si>
  <si>
    <t>nd72，暂缓发，疑是压货</t>
    <phoneticPr fontId="2" type="noConversion"/>
  </si>
  <si>
    <t>302-002898</t>
  </si>
  <si>
    <t>nd1，上海供应</t>
    <phoneticPr fontId="2" type="noConversion"/>
  </si>
  <si>
    <t>302-002933</t>
  </si>
  <si>
    <t>nd1，清昴智能昇腾服务器采购，仅厦门有1共用</t>
    <phoneticPr fontId="2" type="noConversion"/>
  </si>
  <si>
    <t>302-003041</t>
  </si>
  <si>
    <t>深圳</t>
    <phoneticPr fontId="2" type="noConversion"/>
  </si>
  <si>
    <t>海外机箱，待战国提供BOM再看</t>
    <phoneticPr fontId="2" type="noConversion"/>
  </si>
  <si>
    <t>302-003070</t>
    <phoneticPr fontId="2" type="noConversion"/>
  </si>
  <si>
    <t>自研海光。半成品未包含、公司无库存、散料也无。张鑫归还固资样机306004674也没有</t>
    <phoneticPr fontId="2" type="noConversion"/>
  </si>
  <si>
    <t>302-003127</t>
    <phoneticPr fontId="2" type="noConversion"/>
  </si>
  <si>
    <t>nd15，北京有1供应</t>
    <phoneticPr fontId="2" type="noConversion"/>
  </si>
  <si>
    <t>302-003127</t>
  </si>
  <si>
    <t>天津</t>
    <phoneticPr fontId="2" type="noConversion"/>
  </si>
  <si>
    <t>nd28，北京有1供应</t>
    <phoneticPr fontId="2" type="noConversion"/>
  </si>
  <si>
    <t>nd12，北京有1供应</t>
    <phoneticPr fontId="2" type="noConversion"/>
  </si>
  <si>
    <t>nd1，广州有1供应</t>
    <phoneticPr fontId="2" type="noConversion"/>
  </si>
  <si>
    <t>nd4，广州1共用</t>
    <phoneticPr fontId="2" type="noConversion"/>
  </si>
  <si>
    <t>nd10，上海1共用，疑是沈章平改制项目</t>
    <phoneticPr fontId="2" type="noConversion"/>
  </si>
  <si>
    <t>兰州</t>
    <phoneticPr fontId="2" type="noConversion"/>
  </si>
  <si>
    <t>nd8，成都1供应</t>
    <phoneticPr fontId="2" type="noConversion"/>
  </si>
  <si>
    <t>银川</t>
    <phoneticPr fontId="2" type="noConversion"/>
  </si>
  <si>
    <t>nd1，成都1供应</t>
    <phoneticPr fontId="2" type="noConversion"/>
  </si>
  <si>
    <t>302-003228</t>
  </si>
  <si>
    <t>nd5，北京有1供应，17所项目</t>
    <phoneticPr fontId="2" type="noConversion"/>
  </si>
  <si>
    <t>302-003289</t>
  </si>
  <si>
    <t>302-003373</t>
  </si>
  <si>
    <t>长春</t>
    <phoneticPr fontId="2" type="noConversion"/>
  </si>
  <si>
    <t>302-003390</t>
  </si>
  <si>
    <t>nd1，A924物料，广州有1供应</t>
    <phoneticPr fontId="2" type="noConversion"/>
  </si>
  <si>
    <t>302-003487</t>
    <phoneticPr fontId="2" type="noConversion"/>
  </si>
  <si>
    <t>3487海外机箱，晓斌哥帮我采购到货302-004065海外机箱相互替代，机箱包含302-004226硬盘背板在武汉总库，正在等待拆解，疑是495可替</t>
    <phoneticPr fontId="2" type="noConversion"/>
  </si>
  <si>
    <t>302-003754</t>
  </si>
  <si>
    <t>nd4，北京供应，等转储</t>
    <phoneticPr fontId="2" type="noConversion"/>
  </si>
  <si>
    <t>302-004067</t>
  </si>
  <si>
    <t>海外raid卡，采购中</t>
    <phoneticPr fontId="2" type="noConversion"/>
  </si>
  <si>
    <t>302-004217</t>
  </si>
  <si>
    <t>302-004218</t>
  </si>
  <si>
    <t>302-004219</t>
  </si>
  <si>
    <t>nd3，A924线缆，武汉1供应，找了郭思源你确定的是302-002632吗，实物sn序列号包含1999016KNHZ，而1999016KNH对应料号是302-004219，而2632和4219是不可替代的，现在弄不清楚项目最终使用啥</t>
    <phoneticPr fontId="2" type="noConversion"/>
  </si>
  <si>
    <t>302-004221</t>
  </si>
  <si>
    <t>nd76，北京有1可供应，一汽大众OEM-920B设备,920B稀缺线缆</t>
    <phoneticPr fontId="2" type="noConversion"/>
  </si>
  <si>
    <t>302-004224</t>
  </si>
  <si>
    <t>302-004225</t>
  </si>
  <si>
    <t>nd76，北京有1可供应，一汽大众OEM-920B设备,稀缺线缆</t>
    <phoneticPr fontId="2" type="noConversion"/>
  </si>
  <si>
    <t>302-000493</t>
    <phoneticPr fontId="2" type="noConversion"/>
  </si>
  <si>
    <t>nd15，联通项目，福州供应，稀缺件</t>
    <phoneticPr fontId="2" type="noConversion"/>
  </si>
  <si>
    <t>302-000493</t>
  </si>
  <si>
    <t>nd4，北京供应</t>
    <phoneticPr fontId="2" type="noConversion"/>
  </si>
  <si>
    <t>nd36，北京或哈尔滨供应，一汽大众</t>
    <phoneticPr fontId="2" type="noConversion"/>
  </si>
  <si>
    <t>nd4，武汉供应</t>
    <phoneticPr fontId="2" type="noConversion"/>
  </si>
  <si>
    <t>302-001775</t>
    <phoneticPr fontId="2" type="noConversion"/>
  </si>
  <si>
    <t>东莞</t>
    <phoneticPr fontId="2" type="noConversion"/>
  </si>
  <si>
    <t>南网4H，暂同广州供应</t>
    <phoneticPr fontId="2" type="noConversion"/>
  </si>
  <si>
    <t>302-001775</t>
  </si>
  <si>
    <t>nd3，已放3145+3470+3471，北京有1供应</t>
    <phoneticPr fontId="2" type="noConversion"/>
  </si>
  <si>
    <t>nd1，已放3145+3470+3471武汉供应</t>
    <phoneticPr fontId="2" type="noConversion"/>
  </si>
  <si>
    <t>302-002609</t>
  </si>
  <si>
    <t>302-002689</t>
  </si>
  <si>
    <t>302-002798</t>
  </si>
  <si>
    <t>长沙</t>
    <phoneticPr fontId="2" type="noConversion"/>
  </si>
  <si>
    <t>nd4，武汉有1供应</t>
    <phoneticPr fontId="2" type="noConversion"/>
  </si>
  <si>
    <t>nd4，厦门有1供应</t>
    <phoneticPr fontId="2" type="noConversion"/>
  </si>
  <si>
    <t>302-000139</t>
  </si>
  <si>
    <t>西宁</t>
    <phoneticPr fontId="2" type="noConversion"/>
  </si>
  <si>
    <t>nd1，兰州供应</t>
    <phoneticPr fontId="2" type="noConversion"/>
  </si>
  <si>
    <t>nd1，烟台有2供应</t>
    <phoneticPr fontId="2" type="noConversion"/>
  </si>
  <si>
    <t>302-000144</t>
  </si>
  <si>
    <t>nd16，上海2共用，疑是沈章平改制项目</t>
    <phoneticPr fontId="2" type="noConversion"/>
  </si>
  <si>
    <t>nd1，成都1共用</t>
    <phoneticPr fontId="2" type="noConversion"/>
  </si>
  <si>
    <t>302-000870</t>
  </si>
  <si>
    <t>nd5，广州供应</t>
    <phoneticPr fontId="2" type="noConversion"/>
  </si>
  <si>
    <t>302-001345</t>
  </si>
  <si>
    <t>合肥</t>
  </si>
  <si>
    <t>nd128，移动2162台，南京有1和上海有1相互共用</t>
    <phoneticPr fontId="2" type="noConversion"/>
  </si>
  <si>
    <t>nd3，紧急情况从武汉人肉吧</t>
    <phoneticPr fontId="2" type="noConversion"/>
  </si>
  <si>
    <t>沈阳</t>
  </si>
  <si>
    <t>nd30，移动FZ，北京1共用</t>
    <phoneticPr fontId="2" type="noConversion"/>
  </si>
  <si>
    <t>nd30，移动FZ，哈尔滨1共用</t>
    <phoneticPr fontId="2" type="noConversion"/>
  </si>
  <si>
    <t>东莞</t>
  </si>
  <si>
    <t>南网4h，同广州供应</t>
    <phoneticPr fontId="2" type="noConversion"/>
  </si>
  <si>
    <t>302-000419</t>
  </si>
  <si>
    <t>nd1，武汉供应</t>
    <phoneticPr fontId="2" type="noConversion"/>
  </si>
  <si>
    <t>302-001350</t>
  </si>
  <si>
    <t>nd6，北京和廊坊各有1供应</t>
    <phoneticPr fontId="2" type="noConversion"/>
  </si>
  <si>
    <t>nd3，北京供应，稀缺件</t>
    <phoneticPr fontId="2" type="noConversion"/>
  </si>
  <si>
    <t>302-002764</t>
  </si>
  <si>
    <t>nd4，福州有1相互共用</t>
    <phoneticPr fontId="2" type="noConversion"/>
  </si>
  <si>
    <t>302-000075</t>
  </si>
  <si>
    <t>302-000704</t>
    <phoneticPr fontId="2" type="noConversion"/>
  </si>
  <si>
    <t>昆明</t>
    <phoneticPr fontId="2" type="noConversion"/>
  </si>
  <si>
    <t>ND2,贵阳有1供应</t>
    <phoneticPr fontId="2" type="noConversion"/>
  </si>
  <si>
    <t>302-002033</t>
  </si>
  <si>
    <t>nd24，广州供应</t>
    <phoneticPr fontId="2" type="noConversion"/>
  </si>
  <si>
    <t>302-002753</t>
  </si>
  <si>
    <t>长沙</t>
  </si>
  <si>
    <t>nd8,从武汉共用</t>
    <phoneticPr fontId="2" type="noConversion"/>
  </si>
  <si>
    <t>nd66，北京共用</t>
    <phoneticPr fontId="2" type="noConversion"/>
  </si>
  <si>
    <t>昆明</t>
  </si>
  <si>
    <t>nd5，贵阳有1共用</t>
    <phoneticPr fontId="2" type="noConversion"/>
  </si>
  <si>
    <t>nd12，北京1供应</t>
    <phoneticPr fontId="2" type="noConversion"/>
  </si>
  <si>
    <t>nd30，北京有1共用</t>
    <phoneticPr fontId="2" type="noConversion"/>
  </si>
  <si>
    <t>nd18，上海有1共用</t>
    <phoneticPr fontId="2" type="noConversion"/>
  </si>
  <si>
    <t>nd2，厦门1共用</t>
    <phoneticPr fontId="2" type="noConversion"/>
  </si>
  <si>
    <t>银川</t>
  </si>
  <si>
    <t>nd18，兰州有1共用</t>
    <phoneticPr fontId="2" type="noConversion"/>
  </si>
  <si>
    <t>南昌</t>
    <phoneticPr fontId="2" type="noConversion"/>
  </si>
  <si>
    <t>nd49，暂从武汉供应</t>
    <phoneticPr fontId="2" type="noConversion"/>
  </si>
  <si>
    <t>302-001363</t>
  </si>
  <si>
    <t>龙岩</t>
    <phoneticPr fontId="2" type="noConversion"/>
  </si>
  <si>
    <t>4H1台，龙岩纪委，已和田强沟通，主板从福州库房供应</t>
    <phoneticPr fontId="2" type="noConversion"/>
  </si>
  <si>
    <t>302-000352</t>
  </si>
  <si>
    <t>nd2，只武汉1供应</t>
    <phoneticPr fontId="2" type="noConversion"/>
  </si>
  <si>
    <t>nd6，只武汉1供应</t>
    <phoneticPr fontId="2" type="noConversion"/>
  </si>
  <si>
    <t>302-002031</t>
  </si>
  <si>
    <t>nd27移动项目，广州供应</t>
    <phoneticPr fontId="2" type="noConversion"/>
  </si>
  <si>
    <t>天津</t>
  </si>
  <si>
    <t>nd9，北京供应</t>
    <phoneticPr fontId="2" type="noConversion"/>
  </si>
  <si>
    <t>302-001592</t>
  </si>
  <si>
    <t>nd5，北京供应</t>
    <phoneticPr fontId="2" type="noConversion"/>
  </si>
  <si>
    <t>302-000755</t>
  </si>
  <si>
    <t>nd1，南宁有1相互共用</t>
    <phoneticPr fontId="2" type="noConversion"/>
  </si>
  <si>
    <t>302-001003</t>
  </si>
  <si>
    <t>nd10,武汉供应</t>
    <phoneticPr fontId="2" type="noConversion"/>
  </si>
  <si>
    <t>nd88,银川有1共用</t>
    <phoneticPr fontId="2" type="noConversion"/>
  </si>
  <si>
    <t>nd19，北京供应</t>
    <phoneticPr fontId="2" type="noConversion"/>
  </si>
  <si>
    <t>nd37，哈尔滨供应</t>
    <phoneticPr fontId="2" type="noConversion"/>
  </si>
  <si>
    <t>nd7，成都供应</t>
    <phoneticPr fontId="2" type="noConversion"/>
  </si>
  <si>
    <t>nd1，广州供应</t>
    <phoneticPr fontId="2" type="noConversion"/>
  </si>
  <si>
    <t>nd2，上海或者杭州供应</t>
    <phoneticPr fontId="2" type="noConversion"/>
  </si>
  <si>
    <t>302-001362</t>
  </si>
  <si>
    <t>302-001004</t>
  </si>
  <si>
    <t>nd1，贵阳和北京有1</t>
    <phoneticPr fontId="2" type="noConversion"/>
  </si>
  <si>
    <t>302-001153</t>
  </si>
  <si>
    <t>302-001020</t>
    <phoneticPr fontId="2" type="noConversion"/>
  </si>
  <si>
    <t>nd4，北京有1供应</t>
    <phoneticPr fontId="2" type="noConversion"/>
  </si>
  <si>
    <t>302-001286</t>
  </si>
  <si>
    <t>南宁</t>
  </si>
  <si>
    <t>nd2，暂同广州共用</t>
    <phoneticPr fontId="2" type="noConversion"/>
  </si>
  <si>
    <t>nd1,国家石油天然气，暂同北京供应</t>
    <phoneticPr fontId="2" type="noConversion"/>
  </si>
  <si>
    <t>nd5，暂同北京供应</t>
    <phoneticPr fontId="2" type="noConversion"/>
  </si>
  <si>
    <t>302-001287</t>
  </si>
  <si>
    <t>nd4,国家石油天然气，暂同北京供应</t>
    <phoneticPr fontId="2" type="noConversion"/>
  </si>
  <si>
    <t>302-001291</t>
  </si>
  <si>
    <t>nd49，武汉有1供应</t>
    <phoneticPr fontId="2" type="noConversion"/>
  </si>
  <si>
    <t>302-001858</t>
    <phoneticPr fontId="2" type="noConversion"/>
  </si>
  <si>
    <t>nd5，武汉1供应</t>
    <phoneticPr fontId="2" type="noConversion"/>
  </si>
  <si>
    <t>302-001858</t>
  </si>
  <si>
    <t>nd2，国家石油天然气，武汉供应</t>
    <phoneticPr fontId="2" type="noConversion"/>
  </si>
  <si>
    <t>nd1，国家石油天然气，从北京供应</t>
    <phoneticPr fontId="2" type="noConversion"/>
  </si>
  <si>
    <t>nd11，圣博创新ARM，同北京供应</t>
    <phoneticPr fontId="2" type="noConversion"/>
  </si>
  <si>
    <t>nd10，变电站，同北京供应</t>
    <phoneticPr fontId="2" type="noConversion"/>
  </si>
  <si>
    <t>nd7，从武汉供应</t>
    <phoneticPr fontId="2" type="noConversion"/>
  </si>
  <si>
    <t>nd204，从杭州供应，此主板有安排从杭州调拨去南京</t>
    <phoneticPr fontId="2" type="noConversion"/>
  </si>
  <si>
    <t>武汉项目</t>
  </si>
  <si>
    <t>nd31</t>
    <phoneticPr fontId="2" type="noConversion"/>
  </si>
  <si>
    <t>302-001369</t>
    <phoneticPr fontId="2" type="noConversion"/>
  </si>
  <si>
    <t>nd44，北京有1供应</t>
    <phoneticPr fontId="2" type="noConversion"/>
  </si>
  <si>
    <t>nd3，上海供应</t>
    <phoneticPr fontId="2" type="noConversion"/>
  </si>
  <si>
    <t>302-001369</t>
  </si>
  <si>
    <t>302-002443</t>
  </si>
  <si>
    <t>nd1，沈阳有1供应</t>
    <phoneticPr fontId="2" type="noConversion"/>
  </si>
  <si>
    <t>nd2，沈阳有1供应</t>
    <phoneticPr fontId="2" type="noConversion"/>
  </si>
  <si>
    <t>nd1，兰州有1共用</t>
    <phoneticPr fontId="2" type="noConversion"/>
  </si>
  <si>
    <t>nd4，南京有1共用</t>
    <phoneticPr fontId="2" type="noConversion"/>
  </si>
  <si>
    <t>302-000519</t>
  </si>
  <si>
    <t>nd4，北京有4共用下</t>
    <phoneticPr fontId="2" type="noConversion"/>
  </si>
  <si>
    <t>nd2，上海和杭州各1供应</t>
    <phoneticPr fontId="2" type="noConversion"/>
  </si>
  <si>
    <t>南京</t>
  </si>
  <si>
    <t>302-000292</t>
  </si>
  <si>
    <t>nd1，北京供应</t>
  </si>
  <si>
    <t>302-001778</t>
  </si>
  <si>
    <t>nd24，沈阳供应</t>
    <phoneticPr fontId="2" type="noConversion"/>
  </si>
  <si>
    <t>302-003160</t>
  </si>
  <si>
    <t>nd3，上海有2供应</t>
    <phoneticPr fontId="2" type="noConversion"/>
  </si>
  <si>
    <t>302-002025</t>
  </si>
  <si>
    <t>nd5，上海南京各1共用</t>
    <phoneticPr fontId="2" type="noConversion"/>
  </si>
  <si>
    <t>nd4，福州有1供应</t>
    <phoneticPr fontId="2" type="noConversion"/>
  </si>
  <si>
    <t>302-002611</t>
  </si>
  <si>
    <t>nd1，长春沈阳各有1共用</t>
    <phoneticPr fontId="2" type="noConversion"/>
  </si>
  <si>
    <t>302-002588</t>
  </si>
  <si>
    <t>nd2，福州有1供应</t>
    <phoneticPr fontId="2" type="noConversion"/>
  </si>
  <si>
    <t>302-001875</t>
  </si>
  <si>
    <t>nd6，从上海供应</t>
    <phoneticPr fontId="2" type="noConversion"/>
  </si>
  <si>
    <t>nd1，从北京供应</t>
    <phoneticPr fontId="2" type="noConversion"/>
  </si>
  <si>
    <t>302-002638</t>
  </si>
  <si>
    <t>南宁</t>
    <phoneticPr fontId="2" type="noConversion"/>
  </si>
  <si>
    <t>nd3，武汉供应或者福州供应</t>
    <phoneticPr fontId="2" type="noConversion"/>
  </si>
  <si>
    <t>杭州</t>
    <phoneticPr fontId="2" type="noConversion"/>
  </si>
  <si>
    <t>nd5，上海供应</t>
    <phoneticPr fontId="2" type="noConversion"/>
  </si>
  <si>
    <t>302-001882</t>
  </si>
  <si>
    <t>nd1，XNS集采项目第一批（2）简配件，北京有1共用</t>
    <phoneticPr fontId="2" type="noConversion"/>
  </si>
  <si>
    <t>nd23，XNS集采项目第二批347台，稀缺主板，武汉供应</t>
    <phoneticPr fontId="2" type="noConversion"/>
  </si>
  <si>
    <t>nd1，XNS集采项目第二批347台，稀缺主板北京供应</t>
    <phoneticPr fontId="2" type="noConversion"/>
  </si>
  <si>
    <t>302-003184</t>
  </si>
  <si>
    <t>nd3，上海和杭州供应</t>
    <phoneticPr fontId="2" type="noConversion"/>
  </si>
  <si>
    <t>nd108，北京1供应</t>
    <phoneticPr fontId="2" type="noConversion"/>
  </si>
  <si>
    <t>nd17，上海有1供应</t>
    <phoneticPr fontId="2" type="noConversion"/>
  </si>
  <si>
    <t>重庆</t>
  </si>
  <si>
    <t>nd27，同成都共用</t>
    <phoneticPr fontId="2" type="noConversion"/>
  </si>
  <si>
    <t>苏研nd5，从北京共用，</t>
    <phoneticPr fontId="2" type="noConversion"/>
  </si>
  <si>
    <t>苏研nd4，从北京共用，</t>
    <phoneticPr fontId="2" type="noConversion"/>
  </si>
  <si>
    <t>苏研nd5，从福州1供应</t>
    <phoneticPr fontId="2" type="noConversion"/>
  </si>
  <si>
    <t>nd23，从北京1供应，移动PC服务器集采项目落地-智算项目</t>
    <phoneticPr fontId="2" type="noConversion"/>
  </si>
  <si>
    <t>302-003183</t>
  </si>
  <si>
    <t>nd6，北京共用</t>
    <phoneticPr fontId="2" type="noConversion"/>
  </si>
  <si>
    <t>nd40，上海有1供应</t>
    <phoneticPr fontId="2" type="noConversion"/>
  </si>
  <si>
    <t>nd10，贵阳1共用</t>
    <phoneticPr fontId="2" type="noConversion"/>
  </si>
  <si>
    <t>nd32，北京供应</t>
    <phoneticPr fontId="2" type="noConversion"/>
  </si>
  <si>
    <t>nd6，北京1供应</t>
    <phoneticPr fontId="2" type="noConversion"/>
  </si>
  <si>
    <t>302-001894</t>
  </si>
  <si>
    <t>nd9，北京1供应</t>
    <phoneticPr fontId="2" type="noConversion"/>
  </si>
  <si>
    <t>汕头</t>
    <phoneticPr fontId="2" type="noConversion"/>
  </si>
  <si>
    <t>nd41，广州1供应</t>
    <phoneticPr fontId="2" type="noConversion"/>
  </si>
  <si>
    <t>nd10，上海1供应</t>
    <phoneticPr fontId="2" type="noConversion"/>
  </si>
  <si>
    <t>nd50，大连1供应</t>
    <phoneticPr fontId="2" type="noConversion"/>
  </si>
  <si>
    <t>302-002550</t>
  </si>
  <si>
    <t>已有1，库存充足再发1</t>
    <phoneticPr fontId="2" type="noConversion"/>
  </si>
  <si>
    <t>302-001977</t>
  </si>
  <si>
    <t>nd2，北京供应</t>
    <phoneticPr fontId="2" type="noConversion"/>
  </si>
  <si>
    <t>广发银行4h12，暂同佛山共用</t>
    <phoneticPr fontId="2" type="noConversion"/>
  </si>
  <si>
    <t>302-002079</t>
  </si>
  <si>
    <t>302-002695</t>
  </si>
  <si>
    <t>302-002084</t>
  </si>
  <si>
    <t>302-002086</t>
  </si>
  <si>
    <t>nd16，北京3供应</t>
    <phoneticPr fontId="2" type="noConversion"/>
  </si>
  <si>
    <t>302-002104</t>
  </si>
  <si>
    <t>nd2，上海供应</t>
    <phoneticPr fontId="2" type="noConversion"/>
  </si>
  <si>
    <t>302-002432</t>
  </si>
  <si>
    <t>nd2，南宁1供应</t>
    <phoneticPr fontId="2" type="noConversion"/>
  </si>
  <si>
    <t>302-003128</t>
  </si>
  <si>
    <t>nd2，北京有1共用</t>
    <phoneticPr fontId="2" type="noConversion"/>
  </si>
  <si>
    <t>302-003214</t>
  </si>
  <si>
    <t>nd4，北京供应，XNS集采项目第一批（2）简配件</t>
    <phoneticPr fontId="2" type="noConversion"/>
  </si>
  <si>
    <t>302-002632</t>
  </si>
  <si>
    <t>302-001161</t>
  </si>
  <si>
    <t>nd2，沈阳1共用，仿真实验室建设项目--沈章平，</t>
    <phoneticPr fontId="2" type="noConversion"/>
  </si>
  <si>
    <t>302-002716</t>
  </si>
  <si>
    <t>302-002794</t>
  </si>
  <si>
    <t>nd3，暂从武汉供应</t>
    <phoneticPr fontId="2" type="noConversion"/>
  </si>
  <si>
    <t>302-003021</t>
  </si>
  <si>
    <t>302-003024</t>
  </si>
  <si>
    <t>nd1，上海有1共用</t>
    <phoneticPr fontId="2" type="noConversion"/>
  </si>
  <si>
    <t>302-003062</t>
  </si>
  <si>
    <t>nd2，广州或厦门都1供应</t>
    <phoneticPr fontId="2" type="noConversion"/>
  </si>
  <si>
    <t>nd6，广州1供应</t>
    <phoneticPr fontId="2" type="noConversion"/>
  </si>
  <si>
    <t>302-003288</t>
  </si>
  <si>
    <t>nd，A924物料，上海供应</t>
    <phoneticPr fontId="2" type="noConversion"/>
  </si>
  <si>
    <t>302-003292</t>
  </si>
  <si>
    <t>302-003810</t>
  </si>
  <si>
    <t>nd1，上海有3供应</t>
    <phoneticPr fontId="2" type="noConversion"/>
  </si>
  <si>
    <t>302-003548</t>
  </si>
  <si>
    <t>nd1，上海有3共用</t>
    <phoneticPr fontId="2" type="noConversion"/>
  </si>
  <si>
    <t>302-003397</t>
    <phoneticPr fontId="2" type="noConversion"/>
  </si>
  <si>
    <t>302-003996</t>
  </si>
  <si>
    <t>nd76，北京有1供应，一汽大众OEM-920B设备</t>
    <phoneticPr fontId="2" type="noConversion"/>
  </si>
  <si>
    <t>302-003770</t>
  </si>
  <si>
    <t>302-003771</t>
  </si>
  <si>
    <t>302-003774</t>
  </si>
  <si>
    <t>302-003775</t>
  </si>
  <si>
    <t>302-003776</t>
  </si>
  <si>
    <t>302-003777</t>
  </si>
  <si>
    <t>302-003875</t>
    <phoneticPr fontId="2" type="noConversion"/>
  </si>
  <si>
    <t>nd2，福州有2共用</t>
    <phoneticPr fontId="2" type="noConversion"/>
  </si>
  <si>
    <t>302-004167</t>
  </si>
  <si>
    <t>nd80,A924物料，武汉供应</t>
    <phoneticPr fontId="2" type="noConversion"/>
  </si>
  <si>
    <t>302-004082</t>
    <phoneticPr fontId="2" type="noConversion"/>
  </si>
  <si>
    <t>内存DDR4-32G-2400-2R×4 HLS</t>
  </si>
  <si>
    <t>内存</t>
  </si>
  <si>
    <t>nd583，待永红总确认是否需要鲲泰服务，溯源系统显示“无服务”</t>
    <phoneticPr fontId="2" type="noConversion"/>
  </si>
  <si>
    <t>内存/32G/2Rx4/3200/ECC HLS</t>
  </si>
  <si>
    <t>nd12，东莞供应</t>
    <phoneticPr fontId="2" type="noConversion"/>
  </si>
  <si>
    <t>CC RAID卡超级电容（SP686C）</t>
  </si>
  <si>
    <t>超级电容</t>
  </si>
  <si>
    <t>4h，等转储</t>
    <phoneticPr fontId="2" type="noConversion"/>
  </si>
  <si>
    <t>302-004004</t>
  </si>
  <si>
    <t>S主板S920X20-2*7270E(64C@2.8G)-AA</t>
  </si>
  <si>
    <t>主板</t>
  </si>
  <si>
    <t>采购中，新机型920B主板，产品回复同302-003989是低阶，302-003989可作为临时替代方案过渡</t>
    <phoneticPr fontId="2" type="noConversion"/>
  </si>
  <si>
    <t>302-001555</t>
    <phoneticPr fontId="2" type="noConversion"/>
  </si>
  <si>
    <t>主板</t>
    <phoneticPr fontId="2" type="noConversion"/>
  </si>
  <si>
    <t>nd27，沈阳供应</t>
    <phoneticPr fontId="2" type="noConversion"/>
  </si>
  <si>
    <t>302-000686</t>
  </si>
  <si>
    <t>RAID扣卡 SR430C(LSI3108)-2GB Cache</t>
  </si>
  <si>
    <t>RAID卡</t>
  </si>
  <si>
    <t>nd3，沈阳共用或者哈尔滨供应</t>
    <phoneticPr fontId="2" type="noConversion"/>
  </si>
  <si>
    <t>302-000683</t>
  </si>
  <si>
    <t>916服务器超级电容LSI3108 2GB Cache</t>
  </si>
  <si>
    <t>02311BNX</t>
  </si>
  <si>
    <t>电容</t>
    <phoneticPr fontId="2" type="noConversion"/>
  </si>
  <si>
    <t>nd10，北京供应，等转储</t>
    <phoneticPr fontId="2" type="noConversion"/>
  </si>
  <si>
    <t>302-002507</t>
  </si>
  <si>
    <t xml:space="preserve"> Atlas-500 A2 智能小站60W电源（PAC60S12-AN）</t>
  </si>
  <si>
    <t>电源</t>
  </si>
  <si>
    <t>nd1，维保待确认，散料增配整机，武汉有1供应</t>
    <phoneticPr fontId="2" type="noConversion"/>
  </si>
  <si>
    <t>网卡RP2000-SW-2*10Gb-SFP+-PCIe2.0x8</t>
  </si>
  <si>
    <t>网卡</t>
  </si>
  <si>
    <t>302-002096</t>
  </si>
  <si>
    <t>灵活网卡TM282-2*25GE/10GE-SFP28-无模</t>
  </si>
  <si>
    <t>灵活网卡</t>
  </si>
  <si>
    <t>302-000261</t>
  </si>
  <si>
    <t>S内存DDR4-16G-2933-2Rx8-RD HLS V1.0</t>
  </si>
  <si>
    <t>nd2，广州供应</t>
    <phoneticPr fontId="2" type="noConversion"/>
  </si>
  <si>
    <t>302-001549</t>
  </si>
  <si>
    <t>3*16X SLOT(PCIE X8)DMINI RISER1&amp;2卡-A722</t>
  </si>
  <si>
    <t>Riser模组</t>
  </si>
  <si>
    <t>nd30，从南宁召回1再发去杭州</t>
    <phoneticPr fontId="2" type="noConversion"/>
  </si>
  <si>
    <t>302-003156</t>
  </si>
  <si>
    <t>RAID标卡 SP686C-16i-PCIe-2GB Cache-HW</t>
  </si>
  <si>
    <t>302-000250</t>
  </si>
  <si>
    <t>高速电缆 Mini SAS HD Cable-0.75m</t>
  </si>
  <si>
    <t>线缆</t>
  </si>
  <si>
    <t>低速信号线-主板到电源转接板-0.2m</t>
  </si>
  <si>
    <t>nd2，武汉供应，1290系列机箱</t>
    <phoneticPr fontId="2" type="noConversion"/>
  </si>
  <si>
    <t>电源线-转接板到前置背板-0.12m</t>
  </si>
  <si>
    <t>S主板S920S03-1*5220(32C@2.6)AP-1711-3A</t>
  </si>
  <si>
    <t>302-004228</t>
  </si>
  <si>
    <t>SSD ES3521A V7-3.84T-SATA 2.5读取-HW V1.0</t>
  </si>
  <si>
    <t>硬盘</t>
  </si>
  <si>
    <t>2H25，石嘴山银行，2025/9/25已发1，等转储</t>
    <phoneticPr fontId="2" type="noConversion"/>
  </si>
  <si>
    <t>S电源线国标-C14 PDU直公-C13直母-250V10A-3M-交流</t>
  </si>
  <si>
    <t>电源线</t>
  </si>
  <si>
    <t>nd23，南京供应，等转储</t>
    <phoneticPr fontId="2" type="noConversion"/>
  </si>
  <si>
    <t>nd36，等转储</t>
    <phoneticPr fontId="2" type="noConversion"/>
  </si>
  <si>
    <t>2H126，等转储</t>
    <phoneticPr fontId="2" type="noConversion"/>
  </si>
  <si>
    <t>302-002898</t>
    <phoneticPr fontId="2" type="noConversion"/>
  </si>
  <si>
    <t>4h2，等转储，成都供应</t>
    <phoneticPr fontId="2" type="noConversion"/>
  </si>
  <si>
    <t>nd133,1290机箱线缆，武汉供应</t>
    <phoneticPr fontId="2" type="noConversion"/>
  </si>
  <si>
    <t>电源线-主板到电源转接板-0.18m</t>
  </si>
  <si>
    <t>302-001835</t>
  </si>
  <si>
    <t>S916右挂耳-BC11RCIB</t>
  </si>
  <si>
    <t>挂耳</t>
  </si>
  <si>
    <t>nd2，1290机箱线缆，武汉供应</t>
    <phoneticPr fontId="2" type="noConversion"/>
  </si>
  <si>
    <t>302-001836</t>
  </si>
  <si>
    <t>S916左挂耳-BC11LCIB</t>
  </si>
  <si>
    <t>高速电缆-内部PCIe高速线缆-0.2m</t>
  </si>
  <si>
    <t>高速电缆-内部PCIe高速线缆-0.335m</t>
  </si>
  <si>
    <t>302-002409</t>
  </si>
  <si>
    <t>自研海光-OCP网卡,深圳瑞联,电口4GE,Intel I350,NCSI</t>
  </si>
  <si>
    <t>其他板卡</t>
  </si>
  <si>
    <t>nd2,4U8卡项目，南威多模型一体机采购，武汉供应</t>
    <phoneticPr fontId="2" type="noConversion"/>
  </si>
  <si>
    <t>302-003488</t>
  </si>
  <si>
    <t>自研海光电源模块,标准CRPS,2000W,AC转DC12V,高斯宝G1401-2000W</t>
  </si>
  <si>
    <t>nd8,4U8卡项目，南威多模型一体机采购，武汉供应</t>
    <phoneticPr fontId="2" type="noConversion"/>
  </si>
  <si>
    <t>304-000701</t>
  </si>
  <si>
    <t>典配L6-4U8卡机-包含SW板、扩展板等；</t>
  </si>
  <si>
    <t>L6典配</t>
  </si>
  <si>
    <t>nd2,4U8卡项目，南威多模型一体机采购，采购中，待采购回复交期</t>
    <phoneticPr fontId="2" type="noConversion"/>
  </si>
  <si>
    <t>302-000329</t>
  </si>
  <si>
    <t>RAID扣卡 SR450C-M 2G(Avago3508) 4U</t>
  </si>
  <si>
    <t>nd1，福州供应</t>
    <phoneticPr fontId="2" type="noConversion"/>
  </si>
  <si>
    <t>nd3，武汉供应，等转储</t>
    <phoneticPr fontId="2" type="noConversion"/>
  </si>
  <si>
    <t>nd15，武汉供应，等转储</t>
    <phoneticPr fontId="2" type="noConversion"/>
  </si>
  <si>
    <t>99-001882</t>
  </si>
  <si>
    <t>S主板S920S10-2*5220(32C@2.6G) AD</t>
  </si>
  <si>
    <t>nd13，XNS集采项目第二批347台，稀缺主板北京供应</t>
    <phoneticPr fontId="2" type="noConversion"/>
  </si>
  <si>
    <t>捆绑料号</t>
    <phoneticPr fontId="2" type="noConversion"/>
  </si>
  <si>
    <t>服务时效</t>
    <phoneticPr fontId="2" type="noConversion"/>
  </si>
  <si>
    <t>销售数量</t>
    <phoneticPr fontId="2" type="noConversion"/>
  </si>
  <si>
    <t xml:space="preserve">	2H/4H</t>
    <phoneticPr fontId="2" type="noConversion"/>
  </si>
  <si>
    <t>99-000413</t>
    <phoneticPr fontId="2" type="noConversion"/>
  </si>
  <si>
    <t>S主板 S920X02-5250-AF 4*(920,48C)1711-3A</t>
  </si>
  <si>
    <t>①302-000471</t>
    <phoneticPr fontId="2" type="noConversion"/>
  </si>
  <si>
    <t>条件1截图案例</t>
    <phoneticPr fontId="2" type="noConversion"/>
  </si>
  <si>
    <t>电缆-SlimLine-Riser1_背板-R62X</t>
    <phoneticPr fontId="2" type="noConversion"/>
  </si>
  <si>
    <t>名称</t>
    <phoneticPr fontId="2" type="noConversion"/>
  </si>
  <si>
    <t>物料代码</t>
    <phoneticPr fontId="2" type="noConversion"/>
  </si>
  <si>
    <t>物料描述</t>
    <phoneticPr fontId="2" type="noConversion"/>
  </si>
  <si>
    <t>根据A列“物料代码”到对应模块中抓取“名称”，如A列是条件1则抓取备料总表的名称，如是条件2则抓取替代料备料总表的名称</t>
    <phoneticPr fontId="2" type="noConversion"/>
  </si>
  <si>
    <t>根据A列条件1成立显示备料总表捆绑料号，条件2成立显示替代料备料总表的捆绑料号</t>
    <phoneticPr fontId="2" type="noConversion"/>
  </si>
  <si>
    <t>根据A列“物料代码”到对应模块中抓取“物料描述”，如A列是条件1则抓取备料总表的物料描述，如是条件2则抓取“捆绑料号”模块下的描述，如99-打头捆绑料号，描述则选取任一名称即可，如是88-打头则选取描述中不带“机箱”字样中的任一描述即可</t>
    <phoneticPr fontId="2" type="noConversion"/>
  </si>
  <si>
    <t>欠料城市</t>
    <phoneticPr fontId="2" type="noConversion"/>
  </si>
  <si>
    <t>②99-000413</t>
    <phoneticPr fontId="2" type="noConversion"/>
  </si>
  <si>
    <t>条件①"备料总表"中,物料代码=捆绑料号且销量&gt;0且库存量=0的物料代码</t>
    <phoneticPr fontId="2" type="noConversion"/>
  </si>
  <si>
    <t xml:space="preserve">条件②替代料备料总表中的捆绑料号，销量&gt;0且库存量=0的捆绑料号。
</t>
    <phoneticPr fontId="2" type="noConversion"/>
  </si>
  <si>
    <t>系统自动抓取，条件1只抓"备料总表"中,当物料代码=捆绑料号且销量&gt;0且库存量=0的物料代码。条件2只抓替代料备料总表中的捆绑料号，销量&gt;0且库存量=0的捆绑料号作为物料代码。
②此字段也支持手动导入或手工创建</t>
    <phoneticPr fontId="2" type="noConversion"/>
  </si>
  <si>
    <t>条件2截图案例</t>
    <phoneticPr fontId="2" type="noConversion"/>
  </si>
  <si>
    <t xml:space="preserve">根据A列物料代码和E列城市来关联匹配“备料总表”或“替代料备料总表”的缺口等于欠料数量。含高时效缺口标红，ND缺口标黄色。条件1成立通过A列物料代码和E列城市抓取备料总表的“缺口”数量。条件2成立通过A列物料代码和E列城市抓取替代料备料总表的“缺口”数量
</t>
    <phoneticPr fontId="2" type="noConversion"/>
  </si>
  <si>
    <t>调拨城市</t>
    <phoneticPr fontId="2" type="noConversion"/>
  </si>
  <si>
    <t>根据A列物料代码，等于备料总表或替代料备料总表的“城市”=欠料城市
②此字段也支持手动导入或手工创建</t>
    <phoneticPr fontId="2" type="noConversion"/>
  </si>
  <si>
    <t>调拨城市库存</t>
    <phoneticPr fontId="2" type="noConversion"/>
  </si>
  <si>
    <t>等于A列物料代码，当条件1成立，则抓取各库区库存中物料代码在调拨城市中的汇总库存数量。当条件2成立，则抓取各库区库存中捆绑料号在调拨城市中的汇总后库存数量</t>
    <phoneticPr fontId="2" type="noConversion"/>
  </si>
  <si>
    <t>新建模块：欠料调拨</t>
    <phoneticPr fontId="2" type="noConversion"/>
  </si>
  <si>
    <t>根据E列欠料城市=WMS库房分配表中“库存地”，关联出“备选库”，调拨城市=备选库</t>
    <phoneticPr fontId="2" type="noConversion"/>
  </si>
  <si>
    <t>服务时效比对逻辑</t>
    <phoneticPr fontId="2" type="noConversion"/>
  </si>
  <si>
    <t>7*24*ND</t>
  </si>
  <si>
    <t>7*24*4H</t>
  </si>
  <si>
    <t>基础保修</t>
  </si>
  <si>
    <t>7*24*2H</t>
  </si>
  <si>
    <t>7x24x5CD</t>
  </si>
  <si>
    <t>7*24*3CD</t>
  </si>
  <si>
    <t>用A列物料代码条件1成立，关联汇总看板，E列欠料城市=汇总看板“库存地点”，则做“服务时效”比对，比对逻辑同生产系统PO单服务时效一样，得出服务时效。
比对逻辑：</t>
    <phoneticPr fontId="2" type="noConversion"/>
  </si>
  <si>
    <t>优先级</t>
    <phoneticPr fontId="2" type="noConversion"/>
  </si>
  <si>
    <t>第一梯队</t>
    <phoneticPr fontId="2" type="noConversion"/>
  </si>
  <si>
    <t>第二梯队</t>
    <phoneticPr fontId="2" type="noConversion"/>
  </si>
  <si>
    <t>第三梯队</t>
    <phoneticPr fontId="2" type="noConversion"/>
  </si>
  <si>
    <t>显示内容</t>
    <phoneticPr fontId="2" type="noConversion"/>
  </si>
  <si>
    <t>时效包含如下任一</t>
    <phoneticPr fontId="2" type="noConversion"/>
  </si>
  <si>
    <t>2H/4H</t>
    <phoneticPr fontId="2" type="noConversion"/>
  </si>
  <si>
    <t>ND</t>
    <phoneticPr fontId="2" type="noConversion"/>
  </si>
  <si>
    <t>基础保修</t>
    <phoneticPr fontId="2" type="noConversion"/>
  </si>
  <si>
    <t>以B列捆绑料号+E列欠料城市汇总“汇总看板”总数量</t>
    <phoneticPr fontId="2" type="noConversion"/>
  </si>
  <si>
    <t>以B列捆绑料号为准，汇总各库区库存“武汉”总数量</t>
    <phoneticPr fontId="2" type="noConversion"/>
  </si>
  <si>
    <t>支持手动或者导入输入备注</t>
    <phoneticPr fontId="2" type="noConversion"/>
  </si>
  <si>
    <t>计划员备注</t>
    <phoneticPr fontId="2" type="noConversion"/>
  </si>
  <si>
    <t>区域一级库库存</t>
    <phoneticPr fontId="2" type="noConversion"/>
  </si>
  <si>
    <t>区域L1库</t>
    <phoneticPr fontId="2" type="noConversion"/>
  </si>
  <si>
    <t>武汉总库库存</t>
    <phoneticPr fontId="2" type="noConversion"/>
  </si>
  <si>
    <t>WMS库房分配表中最尾新增一个“区域一级库”，手动导入维护区域一级库，</t>
    <phoneticPr fontId="2" type="noConversion"/>
  </si>
  <si>
    <t>根据B列捆绑料号，抓取汇总对应区域L1库的库存数量</t>
    <phoneticPr fontId="2" type="noConversion"/>
  </si>
  <si>
    <t>武汉项目=武汉项目</t>
    <phoneticPr fontId="2" type="noConversion"/>
  </si>
  <si>
    <t>导入日期</t>
  </si>
  <si>
    <t>料号</t>
  </si>
  <si>
    <t>描述</t>
  </si>
  <si>
    <t>备件类别</t>
  </si>
  <si>
    <t>备注</t>
  </si>
  <si>
    <t>库房</t>
  </si>
  <si>
    <t>数量</t>
  </si>
  <si>
    <t>捆绑料号</t>
  </si>
  <si>
    <t>补库单状态</t>
  </si>
  <si>
    <t>发料日期</t>
  </si>
  <si>
    <t>库房剩余数量</t>
  </si>
  <si>
    <t>缺口</t>
  </si>
  <si>
    <t>当前武汉库存</t>
  </si>
  <si>
    <t>原料号武汉库存</t>
  </si>
  <si>
    <t>推荐补料料号</t>
  </si>
  <si>
    <t>302-000174</t>
  </si>
  <si>
    <t>光模块-SFP+-10G-多模(850nm,0.3km,LC)</t>
  </si>
  <si>
    <t>光模块</t>
  </si>
  <si>
    <t>佛山</t>
  </si>
  <si>
    <t>99-000381</t>
  </si>
  <si>
    <t>302-001797</t>
  </si>
  <si>
    <t>项目名</t>
  </si>
  <si>
    <t>CRM立项编号</t>
  </si>
  <si>
    <t>校验库房</t>
    <phoneticPr fontId="2" type="noConversion"/>
  </si>
  <si>
    <t>校验捆绑料号</t>
    <phoneticPr fontId="2" type="noConversion"/>
  </si>
  <si>
    <t>手动导入</t>
    <phoneticPr fontId="2" type="noConversion"/>
  </si>
  <si>
    <t>根据P列项目名或Q列CRM立项编号和F列库房，关联BOM总表“项目名”或“CRM立项编号”和“库存地点”，数据能关联匹配ok，则显示“√”，否则显示“×”。</t>
    <phoneticPr fontId="2" type="noConversion"/>
  </si>
  <si>
    <t>根据H列捆绑料号和F列库房，关联BOM总表“捆绑料号”和“库存地点”，数据能关联匹配ok，则显示“√”，否则显示“×”。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</si>
</sst>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rgb="FF000000"/>
      <name val="Times New Roman"/>
      <family val="1"/>
    </font>
    <font>
      <sz val="10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FFFFFF"/>
      <name val="Microsoft YaHei Light"/>
      <family val="2"/>
      <charset val="134"/>
    </font>
    <font>
      <sz val="11"/>
      <color rgb="FF000000"/>
      <name val="宋体"/>
      <family val="3"/>
      <charset val="134"/>
    </font>
    <font>
      <sz val="11"/>
      <color rgb="FFFF0000"/>
      <name val="等线"/>
      <family val="2"/>
      <scheme val="minor"/>
    </font>
    <font>
      <b/>
      <sz val="12"/>
      <color rgb="FFFF0000"/>
      <name val="Microsoft YaHei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8" fillId="7" borderId="1">
      <alignment horizontal="center" vertical="center" wrapText="1"/>
    </xf>
    <xf numFmtId="0" fontId="9" fillId="8" borderId="1">
      <alignment horizontal="center" vertical="center" wrapText="1"/>
    </xf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wrapText="1"/>
    </xf>
    <xf numFmtId="0" fontId="6" fillId="0" borderId="0" xfId="1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/>
    <xf numFmtId="0" fontId="0" fillId="0" borderId="0" xfId="0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  <xf numFmtId="0" fontId="8" fillId="7" borderId="1" xfId="2">
      <alignment horizontal="center" vertical="center" wrapText="1"/>
    </xf>
    <xf numFmtId="0" fontId="9" fillId="8" borderId="1" xfId="3">
      <alignment horizontal="center" vertical="center" wrapText="1"/>
    </xf>
    <xf numFmtId="14" fontId="9" fillId="8" borderId="1" xfId="3" applyNumberFormat="1">
      <alignment horizontal="center" vertical="center" wrapText="1"/>
    </xf>
    <xf numFmtId="0" fontId="0" fillId="0" borderId="1" xfId="0" applyBorder="1"/>
    <xf numFmtId="0" fontId="10" fillId="2" borderId="1" xfId="0" applyFont="1" applyFill="1" applyBorder="1"/>
    <xf numFmtId="0" fontId="11" fillId="2" borderId="1" xfId="2" applyFont="1" applyFill="1" applyBorder="1">
      <alignment horizontal="center" vertical="center" wrapText="1"/>
    </xf>
  </cellXfs>
  <cellStyles count="4">
    <cellStyle name="data_style" xfId="3" xr:uid="{6999176D-605D-4E83-AD8C-B4FF5AB49317}"/>
    <cellStyle name="head_style" xfId="2" xr:uid="{7A2C47B1-6FF9-4316-9A13-5E6EFF700F4D}"/>
    <cellStyle name="常规" xfId="0" builtinId="0"/>
    <cellStyle name="常规 13" xfId="1" xr:uid="{80C1E497-D6DB-4852-AD6C-C2EC5622B7B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1741679</xdr:colOff>
      <xdr:row>0</xdr:row>
      <xdr:rowOff>963772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6FB1D69-4908-7C76-CD4A-2A6E0D12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00000" cy="962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5</xdr:col>
      <xdr:colOff>2098912</xdr:colOff>
      <xdr:row>65</xdr:row>
      <xdr:rowOff>27006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33E100E-6B78-F8D6-643A-8206F464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800000" cy="3897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5</xdr:col>
      <xdr:colOff>298912</xdr:colOff>
      <xdr:row>27</xdr:row>
      <xdr:rowOff>33621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220242B-8EF1-B904-7A4B-BF867957E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6963"/>
          <a:ext cx="9000000" cy="2853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2971800</xdr:colOff>
      <xdr:row>21</xdr:row>
      <xdr:rowOff>91440</xdr:rowOff>
    </xdr:from>
    <xdr:to>
      <xdr:col>11</xdr:col>
      <xdr:colOff>1059960</xdr:colOff>
      <xdr:row>33</xdr:row>
      <xdr:rowOff>66833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8BA0E77-9BA6-9C2B-DE32-1A8F2E4F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3840" y="8221980"/>
          <a:ext cx="9000000" cy="2078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1</xdr:rowOff>
    </xdr:from>
    <xdr:to>
      <xdr:col>12</xdr:col>
      <xdr:colOff>447000</xdr:colOff>
      <xdr:row>8</xdr:row>
      <xdr:rowOff>15306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CF5BC26-A656-E790-3323-F7AFF062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7380" y="4975861"/>
          <a:ext cx="5400000" cy="89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7979;&#31639;\&#26381;&#21153;&#22120;&#22791;&#20214;&#27979;&#31639;&#31995;&#32479;-2025.05.24-&#20999;&#25442;\&#31995;&#32479;&#27979;&#31639;-07.22&#23384;&#37327;&#34920;&#25130;&#27490;&#33267;250720-V6.0&#20999;&#25442;.xlsx" TargetMode="External"/><Relationship Id="rId1" Type="http://schemas.openxmlformats.org/officeDocument/2006/relationships/externalLinkPath" Target="/&#27979;&#31639;/&#26381;&#21153;&#22120;&#22791;&#20214;&#27979;&#31639;&#31995;&#32479;-2025.05.24-&#20999;&#25442;/&#31995;&#32479;&#27979;&#31639;-07.22&#23384;&#37327;&#34920;&#25130;&#27490;&#33267;250720-V6.0&#20999;&#2544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4156\Downloads\&#21508;&#24211;&#21306;&#24211;&#23384;&#25253;&#34920;_20250930.xlsx" TargetMode="External"/><Relationship Id="rId1" Type="http://schemas.openxmlformats.org/officeDocument/2006/relationships/externalLinkPath" Target="file:///C:\Users\54156\Downloads\&#21508;&#24211;&#21306;&#24211;&#23384;&#25253;&#34920;_202509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采购在途"/>
      <sheetName val="采购沟通记录留档"/>
      <sheetName val="备料总表"/>
      <sheetName val="PO单与存量"/>
      <sheetName val="不良率验证"/>
      <sheetName val="汇总看板"/>
      <sheetName val="机箱bom组件"/>
      <sheetName val="0损物料剔除表"/>
      <sheetName val="项目记录表"/>
      <sheetName val="重要事件记录表"/>
    </sheetNames>
    <sheetDataSet>
      <sheetData sheetId="0"/>
      <sheetData sheetId="1"/>
      <sheetData sheetId="2">
        <row r="1">
          <cell r="B1" t="str">
            <v>SAP NO</v>
          </cell>
          <cell r="C1" t="str">
            <v>描述</v>
          </cell>
          <cell r="D1" t="str">
            <v>供应商码</v>
          </cell>
          <cell r="E1" t="str">
            <v>名称</v>
          </cell>
          <cell r="F1" t="str">
            <v>理论不良率</v>
          </cell>
          <cell r="G1" t="str">
            <v>总使用量</v>
          </cell>
          <cell r="H1" t="str">
            <v>备注</v>
          </cell>
          <cell r="I1" t="str">
            <v>捆绑料号</v>
          </cell>
        </row>
        <row r="2">
          <cell r="B2" t="str">
            <v>302-000142</v>
          </cell>
          <cell r="C2" t="str">
            <v>4*GE 接口卡</v>
          </cell>
          <cell r="D2" t="str">
            <v>03025VYQ</v>
          </cell>
          <cell r="E2" t="str">
            <v>接口卡</v>
          </cell>
          <cell r="F2">
            <v>7.7999999999999996E-3</v>
          </cell>
          <cell r="G2">
            <v>41118</v>
          </cell>
          <cell r="I2" t="str">
            <v>99-000142</v>
          </cell>
        </row>
        <row r="3">
          <cell r="B3" t="str">
            <v>302-001037</v>
          </cell>
          <cell r="C3" t="str">
            <v>新4*GE 接口卡</v>
          </cell>
          <cell r="D3">
            <v>6310215</v>
          </cell>
          <cell r="E3" t="str">
            <v>接口卡</v>
          </cell>
          <cell r="F3">
            <v>7.7999999999999996E-3</v>
          </cell>
          <cell r="G3">
            <v>1178</v>
          </cell>
          <cell r="I3" t="str">
            <v>99-000142</v>
          </cell>
        </row>
        <row r="4">
          <cell r="B4" t="str">
            <v>302-001873</v>
          </cell>
          <cell r="C4" t="str">
            <v>TM210板载灵活网卡4*1GE-RJ45</v>
          </cell>
          <cell r="D4">
            <v>302034300</v>
          </cell>
          <cell r="E4" t="str">
            <v>接口卡</v>
          </cell>
          <cell r="F4">
            <v>7.7999999999999996E-3</v>
          </cell>
          <cell r="G4">
            <v>47071</v>
          </cell>
          <cell r="I4" t="str">
            <v>99-000142</v>
          </cell>
        </row>
        <row r="5">
          <cell r="B5" t="str">
            <v>302-000865</v>
          </cell>
          <cell r="C5" t="str">
            <v>新4*GE 接口卡</v>
          </cell>
          <cell r="D5" t="str">
            <v>03029CPW</v>
          </cell>
          <cell r="E5" t="str">
            <v>接口卡</v>
          </cell>
          <cell r="F5">
            <v>7.7999999999999996E-3</v>
          </cell>
          <cell r="G5">
            <v>52</v>
          </cell>
          <cell r="I5" t="str">
            <v>99-000142</v>
          </cell>
        </row>
        <row r="6">
          <cell r="B6" t="str">
            <v>302-000147</v>
          </cell>
          <cell r="C6" t="str">
            <v>Riser1&amp;2模组 3*16X(X8)</v>
          </cell>
          <cell r="D6" t="str">
            <v>02312VXU</v>
          </cell>
          <cell r="E6" t="str">
            <v>Riser模组</v>
          </cell>
          <cell r="F6">
            <v>5.0000000000000001E-3</v>
          </cell>
          <cell r="G6">
            <v>92787</v>
          </cell>
          <cell r="I6" t="str">
            <v>99-000147</v>
          </cell>
        </row>
        <row r="7">
          <cell r="B7" t="str">
            <v>302-001181</v>
          </cell>
          <cell r="C7" t="str">
            <v>Riser1&amp;2模组 3*16X(X8)</v>
          </cell>
          <cell r="D7" t="str">
            <v>02312NFS</v>
          </cell>
          <cell r="E7" t="str">
            <v>Riser模组</v>
          </cell>
          <cell r="F7">
            <v>5.0000000000000001E-3</v>
          </cell>
          <cell r="G7">
            <v>67</v>
          </cell>
          <cell r="I7" t="str">
            <v>99-000147</v>
          </cell>
        </row>
        <row r="8">
          <cell r="B8" t="str">
            <v>302-002379</v>
          </cell>
          <cell r="C8" t="str">
            <v>3*16X SLOT (PCIE X8) RISER1&amp;2 模组-LJ</v>
          </cell>
          <cell r="D8" t="str">
            <v>02312NFS-1</v>
          </cell>
          <cell r="E8" t="str">
            <v>Riser模组</v>
          </cell>
          <cell r="F8">
            <v>5.0000000000000001E-3</v>
          </cell>
          <cell r="G8">
            <v>0</v>
          </cell>
          <cell r="I8" t="str">
            <v>99-000147</v>
          </cell>
        </row>
        <row r="9">
          <cell r="B9" t="str">
            <v>302-000464</v>
          </cell>
          <cell r="C9" t="str">
            <v>3*16X SLOT (PCIE X8) RISER1&amp;2卡-A722</v>
          </cell>
          <cell r="D9" t="str">
            <v>02312QGF</v>
          </cell>
          <cell r="E9" t="str">
            <v>Riser模组</v>
          </cell>
          <cell r="F9">
            <v>5.0000000000000001E-3</v>
          </cell>
          <cell r="G9">
            <v>7363</v>
          </cell>
          <cell r="I9" t="str">
            <v>99-000147</v>
          </cell>
        </row>
        <row r="10">
          <cell r="B10" t="str">
            <v>302-001647</v>
          </cell>
          <cell r="C10" t="str">
            <v>3*16X SLOT(PCIE X8)RISER1&amp;2-Atlas3010&amp;T4</v>
          </cell>
          <cell r="D10">
            <v>2580141</v>
          </cell>
          <cell r="E10" t="str">
            <v>Riser模组</v>
          </cell>
          <cell r="F10">
            <v>5.0000000000000001E-3</v>
          </cell>
          <cell r="G10">
            <v>1376</v>
          </cell>
          <cell r="I10" t="str">
            <v>99-000147</v>
          </cell>
        </row>
        <row r="11">
          <cell r="B11" t="str">
            <v>302-000184</v>
          </cell>
          <cell r="C11" t="str">
            <v>2000W 交流电源模块</v>
          </cell>
          <cell r="D11" t="str">
            <v>02312HGY</v>
          </cell>
          <cell r="E11" t="str">
            <v>电源</v>
          </cell>
          <cell r="F11">
            <v>5.0000000000000001E-3</v>
          </cell>
          <cell r="G11">
            <v>8437</v>
          </cell>
          <cell r="I11" t="str">
            <v>99-000184</v>
          </cell>
        </row>
        <row r="12">
          <cell r="B12" t="str">
            <v>302-001309</v>
          </cell>
          <cell r="C12" t="str">
            <v>2000W白金交流电源模块2.0</v>
          </cell>
          <cell r="D12" t="str">
            <v>02312YKR</v>
          </cell>
          <cell r="E12" t="str">
            <v>电源</v>
          </cell>
          <cell r="F12">
            <v>5.0000000000000001E-3</v>
          </cell>
          <cell r="G12">
            <v>6007</v>
          </cell>
          <cell r="I12" t="str">
            <v>99-000184</v>
          </cell>
        </row>
        <row r="13">
          <cell r="B13" t="str">
            <v>302-001862</v>
          </cell>
          <cell r="C13" t="str">
            <v>S内存DDR4-64G-3200-2Rx4-RD HLS V1.0</v>
          </cell>
          <cell r="D13" t="str">
            <v>HMAA8GR7AJR4N-XN,02510048</v>
          </cell>
          <cell r="E13" t="str">
            <v>内存</v>
          </cell>
          <cell r="F13">
            <v>2E-3</v>
          </cell>
          <cell r="G13">
            <v>48567</v>
          </cell>
          <cell r="I13" t="str">
            <v>99-001862</v>
          </cell>
        </row>
        <row r="14">
          <cell r="B14" t="str">
            <v>302-001124</v>
          </cell>
          <cell r="C14" t="str">
            <v>S内存DDR4-64GB-3200-2Rank(4G*4bit) HLS</v>
          </cell>
          <cell r="D14" t="str">
            <v>HMAA8GR7AJR4N-XN</v>
          </cell>
          <cell r="E14" t="str">
            <v>内存</v>
          </cell>
          <cell r="F14">
            <v>2E-3</v>
          </cell>
          <cell r="G14">
            <v>4038</v>
          </cell>
          <cell r="I14" t="str">
            <v>99-001862</v>
          </cell>
        </row>
        <row r="15">
          <cell r="B15" t="str">
            <v>302-000247</v>
          </cell>
          <cell r="C15" t="str">
            <v>S电源线墙插国标-PI直公-C13直母-250V10A-3.0m黑-交流</v>
          </cell>
          <cell r="D15">
            <v>4041104</v>
          </cell>
          <cell r="E15" t="str">
            <v>电源线</v>
          </cell>
          <cell r="F15">
            <v>2E-3</v>
          </cell>
          <cell r="G15">
            <v>122939</v>
          </cell>
          <cell r="I15" t="str">
            <v>99-000247</v>
          </cell>
        </row>
        <row r="16">
          <cell r="B16" t="str">
            <v>302-000328</v>
          </cell>
          <cell r="C16" t="str">
            <v>S电源线墙插国标-PI直公-C13直母-250V10A-3.0m黑-交流</v>
          </cell>
          <cell r="D16">
            <v>4041104</v>
          </cell>
          <cell r="E16" t="str">
            <v>电源线</v>
          </cell>
          <cell r="F16">
            <v>2E-3</v>
          </cell>
          <cell r="G16">
            <v>77185</v>
          </cell>
          <cell r="I16" t="str">
            <v>99-000247</v>
          </cell>
        </row>
        <row r="17">
          <cell r="B17" t="str">
            <v>302-000248</v>
          </cell>
          <cell r="C17" t="str">
            <v>S电源线PDU国标-C14直公-C13直母-250V10A-1.5m黑-交流</v>
          </cell>
          <cell r="D17">
            <v>4050188</v>
          </cell>
          <cell r="E17" t="str">
            <v>电源线</v>
          </cell>
          <cell r="F17">
            <v>2E-3</v>
          </cell>
          <cell r="G17">
            <v>181696</v>
          </cell>
          <cell r="I17" t="str">
            <v>99-000248</v>
          </cell>
        </row>
        <row r="18">
          <cell r="B18" t="str">
            <v>302-000381</v>
          </cell>
          <cell r="C18" t="str">
            <v>XGIGA光模块-SFP+-10G-多模850nm,0.3km,LC</v>
          </cell>
          <cell r="D18" t="str">
            <v>XP-8596-02D</v>
          </cell>
          <cell r="E18" t="str">
            <v>光模块</v>
          </cell>
          <cell r="F18">
            <v>4.1999999999999997E-3</v>
          </cell>
          <cell r="G18">
            <v>35177</v>
          </cell>
          <cell r="I18" t="str">
            <v>99-000381</v>
          </cell>
        </row>
        <row r="19">
          <cell r="B19" t="str">
            <v>302-000174</v>
          </cell>
          <cell r="C19" t="str">
            <v>光模块-SFP+-10G-多模(850nm,0.3km,LC)</v>
          </cell>
          <cell r="D19">
            <v>2318169</v>
          </cell>
          <cell r="E19" t="str">
            <v>光模块</v>
          </cell>
          <cell r="F19">
            <v>4.1999999999999997E-3</v>
          </cell>
          <cell r="G19">
            <v>38416</v>
          </cell>
          <cell r="I19" t="str">
            <v>99-000381</v>
          </cell>
        </row>
        <row r="20">
          <cell r="B20" t="str">
            <v>302-001797</v>
          </cell>
          <cell r="C20" t="str">
            <v>光模块-SFP+-10G-多模(850nm,0.3km,LC)-NDD</v>
          </cell>
          <cell r="D20" t="str">
            <v>SFP-10G-SR-HW</v>
          </cell>
          <cell r="E20" t="str">
            <v>光模块</v>
          </cell>
          <cell r="F20">
            <v>4.1999999999999997E-3</v>
          </cell>
          <cell r="G20">
            <v>44603</v>
          </cell>
          <cell r="I20" t="str">
            <v>99-000381</v>
          </cell>
        </row>
        <row r="21">
          <cell r="B21" t="str">
            <v>302-002431</v>
          </cell>
          <cell r="C21" t="str">
            <v>XGIGA光模块-SFP+-10G-多模850nm,0.3km,LC,COB</v>
          </cell>
          <cell r="D21" t="str">
            <v xml:space="preserve">XGXP-8596-02D-2 </v>
          </cell>
          <cell r="E21" t="str">
            <v>光模块</v>
          </cell>
          <cell r="F21">
            <v>4.1999999999999997E-3</v>
          </cell>
          <cell r="G21">
            <v>52261</v>
          </cell>
          <cell r="I21" t="str">
            <v>99-000381</v>
          </cell>
        </row>
        <row r="22">
          <cell r="B22" t="str">
            <v>302-000006</v>
          </cell>
          <cell r="C22" t="str">
            <v>#S主板S920S00-2*5220(32C@2.6)-VD-1710</v>
          </cell>
          <cell r="D22" t="str">
            <v>03028DYD</v>
          </cell>
          <cell r="E22" t="str">
            <v>主板</v>
          </cell>
          <cell r="F22">
            <v>8.5000000000000006E-3</v>
          </cell>
          <cell r="G22">
            <v>602</v>
          </cell>
          <cell r="I22" t="str">
            <v>99-000708</v>
          </cell>
        </row>
        <row r="23">
          <cell r="B23" t="str">
            <v>302-000507</v>
          </cell>
          <cell r="C23" t="str">
            <v>#S主板S920S00-2*5220(32C@2.6)-AE-VD-1710</v>
          </cell>
          <cell r="D23" t="str">
            <v>03050BTA</v>
          </cell>
          <cell r="E23" t="str">
            <v>主板</v>
          </cell>
          <cell r="F23">
            <v>8.5000000000000006E-3</v>
          </cell>
          <cell r="G23">
            <v>18</v>
          </cell>
          <cell r="I23" t="str">
            <v>99-000708</v>
          </cell>
        </row>
        <row r="24">
          <cell r="B24" t="str">
            <v>302-000708</v>
          </cell>
          <cell r="C24" t="str">
            <v>#S主板S920S00-2*5220(32C@2.6)-AF-VD-1711</v>
          </cell>
          <cell r="D24" t="str">
            <v>03050CSW</v>
          </cell>
          <cell r="E24" t="str">
            <v>主板</v>
          </cell>
          <cell r="F24">
            <v>8.5000000000000006E-3</v>
          </cell>
          <cell r="G24">
            <v>5855</v>
          </cell>
          <cell r="I24" t="str">
            <v>99-000708</v>
          </cell>
        </row>
        <row r="25">
          <cell r="B25" t="str">
            <v>302-001363</v>
          </cell>
          <cell r="C25" t="str">
            <v>S主板S920S00-2*5220(32C@2.6)-AJ-VE-1711</v>
          </cell>
          <cell r="D25" t="str">
            <v>03050EMT</v>
          </cell>
          <cell r="E25" t="str">
            <v>主板</v>
          </cell>
          <cell r="F25">
            <v>8.5000000000000006E-3</v>
          </cell>
          <cell r="G25">
            <v>31391</v>
          </cell>
          <cell r="I25" t="str">
            <v>99-000708</v>
          </cell>
        </row>
        <row r="26">
          <cell r="B26" t="str">
            <v>302-001347</v>
          </cell>
          <cell r="C26" t="str">
            <v>#S主板S920S00-2*5220(32C@2.6)AF-VD1711-3A</v>
          </cell>
          <cell r="D26" t="str">
            <v>03050FMW</v>
          </cell>
          <cell r="E26" t="str">
            <v>主板</v>
          </cell>
          <cell r="F26">
            <v>8.5000000000000006E-3</v>
          </cell>
          <cell r="G26">
            <v>2655</v>
          </cell>
          <cell r="I26" t="str">
            <v>99-000708</v>
          </cell>
        </row>
        <row r="27">
          <cell r="B27" t="str">
            <v>302-002562</v>
          </cell>
          <cell r="C27" t="str">
            <v>S主板 S920S00-2*5220（32C@2.6GHz）-AK-VD-TZ</v>
          </cell>
          <cell r="D27" t="str">
            <v>03050GLR</v>
          </cell>
          <cell r="E27" t="str">
            <v>主板</v>
          </cell>
          <cell r="F27">
            <v>8.5000000000000006E-3</v>
          </cell>
          <cell r="G27">
            <v>29</v>
          </cell>
          <cell r="I27" t="str">
            <v>99-000708</v>
          </cell>
        </row>
        <row r="28">
          <cell r="B28" t="str">
            <v>302-001552</v>
          </cell>
          <cell r="C28" t="str">
            <v>S主板S920S00-5220 2*(920,32C)-A722-1711</v>
          </cell>
          <cell r="D28" t="str">
            <v>03050CRG</v>
          </cell>
          <cell r="E28" t="str">
            <v>主板</v>
          </cell>
          <cell r="F28">
            <v>8.5000000000000006E-3</v>
          </cell>
          <cell r="G28">
            <v>257</v>
          </cell>
          <cell r="I28" t="str">
            <v>99-000708</v>
          </cell>
        </row>
        <row r="29">
          <cell r="B29" t="str">
            <v>302-000143</v>
          </cell>
          <cell r="C29" t="str">
            <v>2*2.5"后置硬盘背板组件(OEM专用)</v>
          </cell>
          <cell r="D29" t="str">
            <v>02312VXN</v>
          </cell>
          <cell r="E29" t="str">
            <v>后置硬盘背板</v>
          </cell>
          <cell r="F29">
            <v>2.8999999999999998E-3</v>
          </cell>
          <cell r="G29">
            <v>5653</v>
          </cell>
          <cell r="I29" t="str">
            <v>99-000143</v>
          </cell>
        </row>
        <row r="30">
          <cell r="B30" t="str">
            <v>302-000148</v>
          </cell>
          <cell r="C30" t="str">
            <v>Riser1&amp;2模组 16X(X16)+16X(X8)</v>
          </cell>
          <cell r="D30" t="str">
            <v>02312VXV</v>
          </cell>
          <cell r="E30" t="str">
            <v>Riser模组</v>
          </cell>
          <cell r="F30">
            <v>5.0000000000000001E-3</v>
          </cell>
          <cell r="G30">
            <v>15532</v>
          </cell>
          <cell r="I30" t="str">
            <v>99-000148</v>
          </cell>
        </row>
        <row r="31">
          <cell r="B31" t="str">
            <v>302-001080</v>
          </cell>
          <cell r="C31" t="str">
            <v>Riser1&amp;2模组 16X(X16)+16X(X8)</v>
          </cell>
          <cell r="D31" t="str">
            <v>02312VXV</v>
          </cell>
          <cell r="E31" t="str">
            <v>Riser模组</v>
          </cell>
          <cell r="F31">
            <v>5.0000000000000001E-3</v>
          </cell>
          <cell r="G31">
            <v>54</v>
          </cell>
          <cell r="I31" t="str">
            <v>99-000148</v>
          </cell>
        </row>
        <row r="32">
          <cell r="B32" t="str">
            <v>302-000134</v>
          </cell>
          <cell r="C32" t="str">
            <v>RAID扣卡 SR450C-M 2G(Avago3508)</v>
          </cell>
          <cell r="D32" t="str">
            <v>03033EFT</v>
          </cell>
          <cell r="E32" t="str">
            <v>RAID卡</v>
          </cell>
          <cell r="F32">
            <v>7.7999999999999996E-3</v>
          </cell>
          <cell r="G32">
            <v>4232</v>
          </cell>
          <cell r="I32" t="str">
            <v>99-000134</v>
          </cell>
        </row>
        <row r="33">
          <cell r="B33" t="str">
            <v>302-000325</v>
          </cell>
          <cell r="C33" t="str">
            <v>RAID扣卡 SR450C 2GB(Avago3508)</v>
          </cell>
          <cell r="D33" t="str">
            <v>02312YJE</v>
          </cell>
          <cell r="E33" t="str">
            <v>RAID卡</v>
          </cell>
          <cell r="F33">
            <v>7.7999999999999996E-3</v>
          </cell>
          <cell r="G33">
            <v>2599</v>
          </cell>
          <cell r="I33" t="str">
            <v>99-000134</v>
          </cell>
        </row>
        <row r="34">
          <cell r="B34" t="str">
            <v>302-001021</v>
          </cell>
          <cell r="C34" t="str">
            <v>RAID扣卡 SR450C-M 2G(Avago3508)</v>
          </cell>
          <cell r="D34" t="str">
            <v>03033EFT/02312HWY</v>
          </cell>
          <cell r="E34" t="str">
            <v>RAID卡</v>
          </cell>
          <cell r="F34">
            <v>7.7999999999999996E-3</v>
          </cell>
          <cell r="G34">
            <v>3</v>
          </cell>
          <cell r="I34" t="str">
            <v>99-000134</v>
          </cell>
        </row>
        <row r="35">
          <cell r="B35" t="str">
            <v>302-002354</v>
          </cell>
          <cell r="C35" t="str">
            <v>RAID扣卡 SR450C-M 2G(Avago3508)-LJ</v>
          </cell>
          <cell r="D35" t="str">
            <v>03033EFT-4,03033EFT</v>
          </cell>
          <cell r="E35" t="str">
            <v>RAID卡</v>
          </cell>
          <cell r="F35">
            <v>7.7999999999999996E-3</v>
          </cell>
          <cell r="G35">
            <v>61</v>
          </cell>
          <cell r="I35" t="str">
            <v>99-000134</v>
          </cell>
        </row>
        <row r="36">
          <cell r="B36" t="str">
            <v>302-000357</v>
          </cell>
          <cell r="C36" t="str">
            <v>机箱 12*3.5英寸硬盘EXP,K22K-02 1620S</v>
          </cell>
          <cell r="D36" t="str">
            <v>02313CCD</v>
          </cell>
          <cell r="E36" t="str">
            <v>机箱/硬盘背板</v>
          </cell>
          <cell r="F36">
            <v>2.8999999999999998E-3</v>
          </cell>
          <cell r="G36">
            <v>171</v>
          </cell>
          <cell r="I36" t="str">
            <v>88-000288</v>
          </cell>
        </row>
        <row r="37">
          <cell r="B37" t="str">
            <v>302-000012</v>
          </cell>
          <cell r="C37" t="str">
            <v>机箱 12*3.5硬盘EXP 2U2P,K22R-02</v>
          </cell>
          <cell r="D37" t="str">
            <v>02312WWV</v>
          </cell>
          <cell r="E37" t="str">
            <v>机箱/硬盘背板</v>
          </cell>
          <cell r="F37">
            <v>2.8999999999999998E-3</v>
          </cell>
          <cell r="G37">
            <v>16121</v>
          </cell>
          <cell r="I37" t="str">
            <v>88-000288</v>
          </cell>
        </row>
        <row r="38">
          <cell r="B38" t="str">
            <v>302-000016</v>
          </cell>
          <cell r="C38" t="str">
            <v>机箱 12*3.5硬盘EXP 2U2P,K22R-02 1620S</v>
          </cell>
          <cell r="D38" t="str">
            <v>02312YTC</v>
          </cell>
          <cell r="E38" t="str">
            <v>机箱/硬盘背板</v>
          </cell>
          <cell r="F38">
            <v>2.8999999999999998E-3</v>
          </cell>
          <cell r="G38">
            <v>11596</v>
          </cell>
          <cell r="I38" t="str">
            <v>88-000288</v>
          </cell>
        </row>
        <row r="39">
          <cell r="B39" t="str">
            <v>302-000019</v>
          </cell>
          <cell r="C39" t="str">
            <v>机箱 12*3.5硬盘EXP 2U1P,K21R-02</v>
          </cell>
          <cell r="D39" t="str">
            <v>02312XGU</v>
          </cell>
          <cell r="E39" t="str">
            <v>机箱/硬盘背板</v>
          </cell>
          <cell r="F39">
            <v>2.8999999999999998E-3</v>
          </cell>
          <cell r="G39">
            <v>8</v>
          </cell>
          <cell r="I39" t="str">
            <v>88-000288</v>
          </cell>
        </row>
        <row r="40">
          <cell r="B40" t="str">
            <v>302-001548</v>
          </cell>
          <cell r="C40" t="str">
            <v>服务器12*3.5英寸硬盘EXP机箱s-A722</v>
          </cell>
          <cell r="D40" t="str">
            <v>02313AUW</v>
          </cell>
          <cell r="E40" t="str">
            <v>机箱/硬盘背板</v>
          </cell>
          <cell r="F40">
            <v>2.8999999999999998E-3</v>
          </cell>
          <cell r="G40">
            <v>250</v>
          </cell>
          <cell r="I40" t="str">
            <v>88-000288</v>
          </cell>
        </row>
        <row r="41">
          <cell r="B41" t="str">
            <v>302-001554</v>
          </cell>
          <cell r="C41" t="str">
            <v>S916服务器12*3.5" 硬盘EXP 2U机箱-无风扇</v>
          </cell>
          <cell r="D41" t="str">
            <v>S916-2U-12*3.5-L5</v>
          </cell>
          <cell r="E41" t="str">
            <v>机箱/硬盘背板</v>
          </cell>
          <cell r="F41">
            <v>2.8999999999999998E-3</v>
          </cell>
          <cell r="G41">
            <v>1105</v>
          </cell>
          <cell r="I41" t="str">
            <v>88-000288</v>
          </cell>
        </row>
        <row r="42">
          <cell r="B42" t="str">
            <v>302-001696</v>
          </cell>
          <cell r="C42" t="str">
            <v>机箱 12*3.5硬盘EXP 2U2P-无RAID SAS线</v>
          </cell>
          <cell r="D42" t="str">
            <v>02314CRP</v>
          </cell>
          <cell r="E42" t="str">
            <v>机箱/硬盘背板</v>
          </cell>
          <cell r="F42">
            <v>2.8999999999999998E-3</v>
          </cell>
          <cell r="G42">
            <v>11407</v>
          </cell>
          <cell r="I42" t="str">
            <v>88-000288</v>
          </cell>
        </row>
        <row r="43">
          <cell r="B43" t="str">
            <v>302-001617</v>
          </cell>
          <cell r="C43" t="str">
            <v>机箱12*3.5英寸硬盘EXP 2U2P,K22R-02</v>
          </cell>
          <cell r="D43" t="str">
            <v>2U-12*3.5-L5</v>
          </cell>
          <cell r="E43" t="str">
            <v>机箱/硬盘背板</v>
          </cell>
          <cell r="F43">
            <v>2.8999999999999998E-3</v>
          </cell>
          <cell r="G43">
            <v>8</v>
          </cell>
          <cell r="I43" t="str">
            <v>88-000288</v>
          </cell>
        </row>
        <row r="44">
          <cell r="B44" t="str">
            <v>302-001050</v>
          </cell>
          <cell r="C44" t="str">
            <v>机箱12*3.5 EXP,2U2P K22R-02 3.0G CPU专用</v>
          </cell>
          <cell r="D44" t="str">
            <v>02313FJM</v>
          </cell>
          <cell r="E44" t="str">
            <v>机箱/硬盘背板</v>
          </cell>
          <cell r="F44">
            <v>2.8999999999999998E-3</v>
          </cell>
          <cell r="G44">
            <v>1472</v>
          </cell>
          <cell r="I44" t="str">
            <v>88-000288</v>
          </cell>
        </row>
        <row r="45">
          <cell r="B45" t="str">
            <v>302-000288</v>
          </cell>
          <cell r="C45" t="str">
            <v>硬盘背板-RH2288H V3-BC11THBQB</v>
          </cell>
          <cell r="D45" t="str">
            <v>03024MSG</v>
          </cell>
          <cell r="E45" t="str">
            <v>机箱/硬盘背板</v>
          </cell>
          <cell r="F45">
            <v>2.8999999999999998E-3</v>
          </cell>
          <cell r="G45">
            <v>930</v>
          </cell>
          <cell r="I45" t="str">
            <v>88-000288</v>
          </cell>
        </row>
        <row r="46">
          <cell r="B46" t="str">
            <v>302-000797</v>
          </cell>
          <cell r="C46" t="str">
            <v>前置硬盘背板12*3.5 EXP 11.1</v>
          </cell>
          <cell r="D46" t="str">
            <v>0302010155</v>
          </cell>
          <cell r="E46" t="str">
            <v>机箱/硬盘背板</v>
          </cell>
          <cell r="F46">
            <v>2.8999999999999998E-3</v>
          </cell>
          <cell r="G46">
            <v>22</v>
          </cell>
          <cell r="I46" t="str">
            <v>88-000288</v>
          </cell>
        </row>
        <row r="47">
          <cell r="B47" t="str">
            <v>302-001690</v>
          </cell>
          <cell r="C47" t="str">
            <v>机箱 12*3.5硬盘EXP 2U2P-无RAID SAS线1620S</v>
          </cell>
          <cell r="D47" t="str">
            <v>02314CRJ</v>
          </cell>
          <cell r="E47" t="str">
            <v>机箱/硬盘背板</v>
          </cell>
          <cell r="F47">
            <v>2.8999999999999998E-3</v>
          </cell>
          <cell r="G47">
            <v>3971</v>
          </cell>
          <cell r="I47" t="str">
            <v>88-000288</v>
          </cell>
        </row>
        <row r="48">
          <cell r="B48" t="str">
            <v>302-000704</v>
          </cell>
          <cell r="C48" t="str">
            <v>#S主板S920X00K-2*5251K(48C@2.6)-AH-1711</v>
          </cell>
          <cell r="D48" t="str">
            <v>03050CSQ</v>
          </cell>
          <cell r="E48" t="str">
            <v>主板</v>
          </cell>
          <cell r="F48">
            <v>8.5000000000000006E-3</v>
          </cell>
          <cell r="G48">
            <v>2149</v>
          </cell>
          <cell r="I48" t="str">
            <v>99-000704</v>
          </cell>
        </row>
        <row r="49">
          <cell r="B49" t="str">
            <v>302-000349</v>
          </cell>
          <cell r="C49" t="str">
            <v>#S主板S920X00K-2*5251K(48C@2.6)-AD-1710</v>
          </cell>
          <cell r="D49" t="str">
            <v>03050AMV</v>
          </cell>
          <cell r="E49" t="str">
            <v>主板</v>
          </cell>
          <cell r="F49">
            <v>8.5000000000000006E-3</v>
          </cell>
          <cell r="G49">
            <v>741</v>
          </cell>
          <cell r="I49" t="str">
            <v>99-000704</v>
          </cell>
        </row>
        <row r="50">
          <cell r="B50" t="str">
            <v>302-000010</v>
          </cell>
          <cell r="C50" t="str">
            <v>信创S主板 2*920,48C信创</v>
          </cell>
          <cell r="D50" t="str">
            <v>02313APY</v>
          </cell>
          <cell r="E50" t="str">
            <v>主板</v>
          </cell>
          <cell r="F50">
            <v>8.5000000000000006E-3</v>
          </cell>
          <cell r="G50">
            <v>28</v>
          </cell>
          <cell r="I50" t="str">
            <v>99-000704</v>
          </cell>
        </row>
        <row r="51">
          <cell r="B51" t="str">
            <v>302-001585</v>
          </cell>
          <cell r="C51" t="str">
            <v>S主板S920X00K-5251K-AH 2*(920,48C)1711R1</v>
          </cell>
          <cell r="D51" t="str">
            <v>03050FUQ</v>
          </cell>
          <cell r="E51" t="str">
            <v>主板</v>
          </cell>
          <cell r="F51">
            <v>8.5000000000000006E-3</v>
          </cell>
          <cell r="G51">
            <v>42</v>
          </cell>
          <cell r="I51" t="str">
            <v>99-000704</v>
          </cell>
        </row>
        <row r="52">
          <cell r="B52" t="str">
            <v>302-001598</v>
          </cell>
          <cell r="C52" t="str">
            <v>#S主板S920X00K-2*5251K(48C@2.6)-AI-1711</v>
          </cell>
          <cell r="D52" t="str">
            <v>03050GFB</v>
          </cell>
          <cell r="E52" t="str">
            <v>主板</v>
          </cell>
          <cell r="F52">
            <v>8.5000000000000006E-3</v>
          </cell>
          <cell r="G52">
            <v>123</v>
          </cell>
          <cell r="I52" t="str">
            <v>99-000704</v>
          </cell>
        </row>
        <row r="53">
          <cell r="B53" t="str">
            <v>302-001786</v>
          </cell>
          <cell r="C53" t="str">
            <v>S主板 S920X00K-5251K 2*(920,48C) 1711</v>
          </cell>
          <cell r="D53" t="str">
            <v>03050GGU</v>
          </cell>
          <cell r="E53" t="str">
            <v>主板</v>
          </cell>
          <cell r="F53">
            <v>8.5000000000000006E-3</v>
          </cell>
          <cell r="G53">
            <v>12</v>
          </cell>
          <cell r="I53" t="str">
            <v>99-000704</v>
          </cell>
        </row>
        <row r="54">
          <cell r="B54" t="str">
            <v>302-002032</v>
          </cell>
          <cell r="C54" t="str">
            <v>S主板S920X00K-2*5251K(48C@2.6)-BC-VD-1711</v>
          </cell>
          <cell r="D54" t="str">
            <v>03050JKR</v>
          </cell>
          <cell r="E54" t="str">
            <v>主板</v>
          </cell>
          <cell r="F54">
            <v>8.5000000000000006E-3</v>
          </cell>
          <cell r="G54">
            <v>1593</v>
          </cell>
          <cell r="I54" t="str">
            <v>99-000704</v>
          </cell>
        </row>
        <row r="55">
          <cell r="B55" t="str">
            <v>302-000136</v>
          </cell>
          <cell r="C55" t="str">
            <v>RAID标卡-2GB 9460-8i-PCIe</v>
          </cell>
          <cell r="D55">
            <v>2560007</v>
          </cell>
          <cell r="E55" t="str">
            <v>RAID卡</v>
          </cell>
          <cell r="F55">
            <v>7.7999999999999996E-3</v>
          </cell>
          <cell r="G55">
            <v>500</v>
          </cell>
          <cell r="I55" t="str">
            <v>99-001066</v>
          </cell>
        </row>
        <row r="56">
          <cell r="B56" t="str">
            <v>302-001048</v>
          </cell>
          <cell r="C56" t="str">
            <v>RAID标卡-2GB 9460-8i-PCIe</v>
          </cell>
          <cell r="D56" t="str">
            <v>P9460-8I</v>
          </cell>
          <cell r="E56" t="str">
            <v>RAID卡</v>
          </cell>
          <cell r="F56">
            <v>7.7999999999999996E-3</v>
          </cell>
          <cell r="G56">
            <v>2637</v>
          </cell>
          <cell r="I56" t="str">
            <v>99-001066</v>
          </cell>
        </row>
        <row r="57">
          <cell r="B57" t="str">
            <v>302-001066</v>
          </cell>
          <cell r="C57" t="str">
            <v>RAID标卡-2GB 9460-8i-PCIe</v>
          </cell>
          <cell r="D57">
            <v>2560007</v>
          </cell>
          <cell r="E57" t="str">
            <v>RAID卡</v>
          </cell>
          <cell r="F57">
            <v>7.7999999999999996E-3</v>
          </cell>
          <cell r="G57">
            <v>431</v>
          </cell>
          <cell r="I57" t="str">
            <v>99-001066</v>
          </cell>
        </row>
        <row r="58">
          <cell r="B58" t="str">
            <v>302-001332</v>
          </cell>
          <cell r="C58" t="str">
            <v>RAID标卡-2GB 9460-8i-PCIe</v>
          </cell>
          <cell r="D58">
            <v>2560036</v>
          </cell>
          <cell r="E58" t="str">
            <v>RAID卡</v>
          </cell>
          <cell r="F58">
            <v>7.7999999999999996E-3</v>
          </cell>
          <cell r="G58">
            <v>31500</v>
          </cell>
          <cell r="I58" t="str">
            <v>99-001066</v>
          </cell>
        </row>
        <row r="59">
          <cell r="B59" t="str">
            <v>302-001164</v>
          </cell>
          <cell r="C59" t="str">
            <v>RAID标卡 9460-8i PCIe3.0X8-2GB Cache</v>
          </cell>
          <cell r="D59" t="str">
            <v>05-50011-02</v>
          </cell>
          <cell r="E59" t="str">
            <v>RAID卡</v>
          </cell>
          <cell r="F59">
            <v>7.7999999999999996E-3</v>
          </cell>
          <cell r="G59">
            <v>13232</v>
          </cell>
          <cell r="I59" t="str">
            <v>99-001066</v>
          </cell>
        </row>
        <row r="60">
          <cell r="B60" t="str">
            <v>302-000140</v>
          </cell>
          <cell r="C60" t="str">
            <v>3508/3516 RAID卡超级电容</v>
          </cell>
          <cell r="D60" t="str">
            <v>02311WDP</v>
          </cell>
          <cell r="E60" t="str">
            <v>超级电容</v>
          </cell>
          <cell r="F60">
            <v>3.2000000000000002E-3</v>
          </cell>
          <cell r="G60">
            <v>19612</v>
          </cell>
          <cell r="I60" t="str">
            <v>99-001655</v>
          </cell>
        </row>
        <row r="61">
          <cell r="B61" t="str">
            <v>302-001655</v>
          </cell>
          <cell r="C61" t="str">
            <v>3508/3516 RAID卡超级电容</v>
          </cell>
          <cell r="D61" t="str">
            <v>02314ASJ</v>
          </cell>
          <cell r="E61" t="str">
            <v>超级电容</v>
          </cell>
          <cell r="F61">
            <v>3.2000000000000002E-3</v>
          </cell>
          <cell r="G61">
            <v>78016</v>
          </cell>
          <cell r="I61" t="str">
            <v>99-001655</v>
          </cell>
        </row>
        <row r="62">
          <cell r="B62" t="str">
            <v>302-001563</v>
          </cell>
          <cell r="C62" t="str">
            <v>RAID卡超级电容CVPM05</v>
          </cell>
          <cell r="D62" t="str">
            <v>CVPM05</v>
          </cell>
          <cell r="E62" t="str">
            <v>超级电容</v>
          </cell>
          <cell r="F62">
            <v>3.2000000000000002E-3</v>
          </cell>
          <cell r="G62">
            <v>977</v>
          </cell>
          <cell r="I62" t="str">
            <v>99-001655</v>
          </cell>
        </row>
        <row r="63">
          <cell r="B63" t="str">
            <v>302-002098</v>
          </cell>
          <cell r="C63" t="str">
            <v>3508 RAID卡超级电容</v>
          </cell>
          <cell r="D63" t="str">
            <v>02311YYL</v>
          </cell>
          <cell r="E63" t="str">
            <v>超级电容</v>
          </cell>
          <cell r="F63">
            <v>3.2000000000000002E-3</v>
          </cell>
          <cell r="G63">
            <v>0</v>
          </cell>
          <cell r="I63" t="str">
            <v>99-001655</v>
          </cell>
        </row>
        <row r="64">
          <cell r="B64" t="str">
            <v>302-000183</v>
          </cell>
          <cell r="C64" t="str">
            <v>900W 交流电源</v>
          </cell>
          <cell r="D64" t="str">
            <v>02311TLF</v>
          </cell>
          <cell r="E64" t="str">
            <v>电源</v>
          </cell>
          <cell r="F64">
            <v>5.0000000000000001E-3</v>
          </cell>
          <cell r="G64">
            <v>5856</v>
          </cell>
          <cell r="I64" t="str">
            <v>99-000448</v>
          </cell>
        </row>
        <row r="65">
          <cell r="B65" t="str">
            <v>302-000448</v>
          </cell>
          <cell r="C65" t="str">
            <v>服务器白金900W B版本交流电源</v>
          </cell>
          <cell r="D65" t="str">
            <v>02312PEU</v>
          </cell>
          <cell r="E65" t="str">
            <v>电源</v>
          </cell>
          <cell r="F65">
            <v>5.0000000000000001E-3</v>
          </cell>
          <cell r="G65">
            <v>52468</v>
          </cell>
          <cell r="I65" t="str">
            <v>99-000448</v>
          </cell>
        </row>
        <row r="66">
          <cell r="B66" t="str">
            <v>302-001170</v>
          </cell>
          <cell r="C66" t="str">
            <v>PAC900S12-B2-服务器白金900W交流电源</v>
          </cell>
          <cell r="D66" t="str">
            <v>02312XWK</v>
          </cell>
          <cell r="E66" t="str">
            <v>电源</v>
          </cell>
          <cell r="F66">
            <v>5.0000000000000001E-3</v>
          </cell>
          <cell r="G66">
            <v>153846</v>
          </cell>
          <cell r="I66" t="str">
            <v>99-000448</v>
          </cell>
        </row>
        <row r="67">
          <cell r="B67" t="str">
            <v>302-000020</v>
          </cell>
          <cell r="C67" t="str">
            <v>机箱 36*3.5硬盘EXP 4U2P,K42R-02</v>
          </cell>
          <cell r="D67" t="str">
            <v>02313ALB</v>
          </cell>
          <cell r="E67" t="str">
            <v>机箱/硬盘背板</v>
          </cell>
          <cell r="F67">
            <v>2.8999999999999998E-3</v>
          </cell>
          <cell r="G67">
            <v>285</v>
          </cell>
          <cell r="I67" t="str">
            <v>88-000021</v>
          </cell>
        </row>
        <row r="68">
          <cell r="B68" t="str">
            <v>302-000021</v>
          </cell>
          <cell r="C68" t="str">
            <v>机箱 36*3.5硬盘EXP 4U2P,K42R-02（1620S）</v>
          </cell>
          <cell r="D68" t="str">
            <v>02313AND</v>
          </cell>
          <cell r="E68" t="str">
            <v>机箱/硬盘背板</v>
          </cell>
          <cell r="F68">
            <v>2.8999999999999998E-3</v>
          </cell>
          <cell r="G68">
            <v>1435</v>
          </cell>
          <cell r="I68" t="str">
            <v>88-000021</v>
          </cell>
        </row>
        <row r="69">
          <cell r="B69" t="str">
            <v>302-000022</v>
          </cell>
          <cell r="C69" t="str">
            <v>机箱 36*3.5硬盘EXP 4U1P,K42R-02</v>
          </cell>
          <cell r="D69" t="str">
            <v>02312YQH</v>
          </cell>
          <cell r="E69" t="str">
            <v>机箱/硬盘背板</v>
          </cell>
          <cell r="F69">
            <v>2.8999999999999998E-3</v>
          </cell>
          <cell r="G69">
            <v>0</v>
          </cell>
          <cell r="I69" t="str">
            <v>88-000021</v>
          </cell>
        </row>
        <row r="70">
          <cell r="B70" t="str">
            <v>302-001615</v>
          </cell>
          <cell r="C70" t="str">
            <v>机箱 36*3.5 EXP 4U2P,K42R-02 3.0G CPU专用</v>
          </cell>
          <cell r="D70" t="str">
            <v>02313FJT</v>
          </cell>
          <cell r="E70" t="str">
            <v>机箱/硬盘背板</v>
          </cell>
          <cell r="F70">
            <v>2.8999999999999998E-3</v>
          </cell>
          <cell r="G70">
            <v>102</v>
          </cell>
          <cell r="I70" t="str">
            <v>88-000021</v>
          </cell>
        </row>
        <row r="71">
          <cell r="B71" t="str">
            <v>302-000246</v>
          </cell>
          <cell r="C71" t="str">
            <v>机箱 36*3.5英寸硬盘EXP BC8M07AMDD</v>
          </cell>
          <cell r="D71">
            <v>2301608</v>
          </cell>
          <cell r="E71" t="str">
            <v>机箱/硬盘背板</v>
          </cell>
          <cell r="F71">
            <v>2.8999999999999998E-3</v>
          </cell>
          <cell r="G71">
            <v>166</v>
          </cell>
          <cell r="I71" t="str">
            <v>88-000021</v>
          </cell>
        </row>
        <row r="72">
          <cell r="B72" t="str">
            <v>302-000719</v>
          </cell>
          <cell r="C72" t="str">
            <v>36*3.5机箱前置24硬盘背板</v>
          </cell>
          <cell r="D72" t="str">
            <v>03027UWH</v>
          </cell>
          <cell r="E72" t="str">
            <v>机箱/硬盘背板</v>
          </cell>
          <cell r="F72">
            <v>2.8999999999999998E-3</v>
          </cell>
          <cell r="G72">
            <v>0</v>
          </cell>
          <cell r="I72" t="str">
            <v>88-002660</v>
          </cell>
        </row>
        <row r="73">
          <cell r="B73" t="str">
            <v>302-000287</v>
          </cell>
          <cell r="C73" t="str">
            <v>风扇组件-5288 V5-BC1M06FAN-5288 V5</v>
          </cell>
          <cell r="D73" t="str">
            <v>02312CJV</v>
          </cell>
          <cell r="E73" t="str">
            <v>风扇</v>
          </cell>
          <cell r="F73">
            <v>2.8999999999999998E-3</v>
          </cell>
          <cell r="G73">
            <v>531</v>
          </cell>
          <cell r="I73" t="str">
            <v>99-000434</v>
          </cell>
        </row>
        <row r="74">
          <cell r="B74" t="str">
            <v>302-000286</v>
          </cell>
          <cell r="C74" t="str">
            <v>风扇-风扇框-2288H V5-BC1M05FAN-8038</v>
          </cell>
          <cell r="D74" t="str">
            <v>02311VSF</v>
          </cell>
          <cell r="E74" t="str">
            <v>风扇</v>
          </cell>
          <cell r="F74">
            <v>2.8999999999999998E-3</v>
          </cell>
          <cell r="G74">
            <v>3767</v>
          </cell>
          <cell r="I74" t="str">
            <v>99-000434</v>
          </cell>
        </row>
        <row r="75">
          <cell r="B75" t="str">
            <v>302-000434</v>
          </cell>
          <cell r="C75" t="str">
            <v>风扇</v>
          </cell>
          <cell r="D75">
            <v>32030275</v>
          </cell>
          <cell r="E75" t="str">
            <v>风扇</v>
          </cell>
          <cell r="F75">
            <v>2.8999999999999998E-3</v>
          </cell>
          <cell r="G75">
            <v>36</v>
          </cell>
          <cell r="I75" t="str">
            <v>99-000434</v>
          </cell>
        </row>
        <row r="76">
          <cell r="B76" t="str">
            <v>302-000160</v>
          </cell>
          <cell r="C76" t="str">
            <v>网卡10Gb双口SFP+Mellanox MT27712A0+2光模</v>
          </cell>
          <cell r="D76" t="str">
            <v>2570012/510601297</v>
          </cell>
          <cell r="E76" t="str">
            <v>网卡</v>
          </cell>
          <cell r="F76">
            <v>5.7999999999999996E-3</v>
          </cell>
          <cell r="G76">
            <v>35878</v>
          </cell>
          <cell r="I76" t="str">
            <v>99-000160</v>
          </cell>
        </row>
        <row r="77">
          <cell r="B77" t="str">
            <v>302-000884</v>
          </cell>
          <cell r="C77" t="str">
            <v>10Gb(Mellanox MT27712A0)DP(含2*SR SFP+)</v>
          </cell>
          <cell r="D77" t="str">
            <v>02311WTS</v>
          </cell>
          <cell r="E77" t="str">
            <v>网卡</v>
          </cell>
          <cell r="F77">
            <v>5.7999999999999996E-3</v>
          </cell>
          <cell r="G77">
            <v>2</v>
          </cell>
          <cell r="I77" t="str">
            <v>99-000160</v>
          </cell>
        </row>
        <row r="78">
          <cell r="B78" t="str">
            <v>302-000756</v>
          </cell>
          <cell r="C78" t="str">
            <v>网卡10Gb(Mellanox MT27712A0)DP(无光模块)</v>
          </cell>
          <cell r="D78">
            <v>2570045</v>
          </cell>
          <cell r="E78" t="str">
            <v>网卡</v>
          </cell>
          <cell r="F78">
            <v>5.7999999999999996E-3</v>
          </cell>
          <cell r="G78">
            <v>31712</v>
          </cell>
          <cell r="I78" t="str">
            <v>99-000756</v>
          </cell>
        </row>
        <row r="79">
          <cell r="B79" t="str">
            <v>302-002336</v>
          </cell>
          <cell r="C79" t="str">
            <v>网卡SP333-2*10Gb-SFP+ PCIe3.0x8-无模-短挡片</v>
          </cell>
          <cell r="D79" t="str">
            <v>06310254/02311QMT</v>
          </cell>
          <cell r="E79" t="str">
            <v>网卡</v>
          </cell>
          <cell r="F79">
            <v>5.7999999999999996E-3</v>
          </cell>
          <cell r="G79">
            <v>1037</v>
          </cell>
          <cell r="I79" t="str">
            <v>99-000756</v>
          </cell>
        </row>
        <row r="80">
          <cell r="B80" t="str">
            <v>302-000910</v>
          </cell>
          <cell r="C80" t="str">
            <v>SP382网卡25GE(Mellanox CX5)DP(无光模块)</v>
          </cell>
          <cell r="D80" t="str">
            <v>02312VVU</v>
          </cell>
          <cell r="E80" t="str">
            <v>网卡</v>
          </cell>
          <cell r="F80">
            <v>5.7999999999999996E-3</v>
          </cell>
          <cell r="G80">
            <v>28874</v>
          </cell>
          <cell r="I80" t="str">
            <v>99-000910</v>
          </cell>
        </row>
        <row r="81">
          <cell r="B81" t="str">
            <v>302-000786</v>
          </cell>
          <cell r="C81" t="str">
            <v>网卡 MCX512A-ACUT 25G/10G双口SFP28</v>
          </cell>
          <cell r="D81" t="str">
            <v>MCX512A-ACUT</v>
          </cell>
          <cell r="E81" t="str">
            <v>网卡</v>
          </cell>
          <cell r="F81">
            <v>5.7999999999999996E-3</v>
          </cell>
          <cell r="G81">
            <v>1560</v>
          </cell>
          <cell r="I81" t="str">
            <v>99-000786</v>
          </cell>
        </row>
        <row r="82">
          <cell r="B82" t="str">
            <v>302-001149</v>
          </cell>
          <cell r="C82" t="str">
            <v>网卡 MCX512A-ACUT 25G/10G双口SFP28</v>
          </cell>
          <cell r="D82" t="str">
            <v>MCX512A-ACUT</v>
          </cell>
          <cell r="E82" t="str">
            <v>网卡</v>
          </cell>
          <cell r="F82">
            <v>5.7999999999999996E-3</v>
          </cell>
          <cell r="G82">
            <v>42</v>
          </cell>
          <cell r="I82" t="str">
            <v>99-000786</v>
          </cell>
        </row>
        <row r="83">
          <cell r="B83" t="str">
            <v>302-001128</v>
          </cell>
          <cell r="C83" t="str">
            <v>网卡 MCX512A-ACUT 25G/10G双口SFP28</v>
          </cell>
          <cell r="D83" t="str">
            <v>MCX512A-ACUT</v>
          </cell>
          <cell r="E83" t="str">
            <v>网卡</v>
          </cell>
          <cell r="F83">
            <v>5.7999999999999996E-3</v>
          </cell>
          <cell r="G83">
            <v>14432</v>
          </cell>
          <cell r="I83" t="str">
            <v>99-000786</v>
          </cell>
        </row>
        <row r="84">
          <cell r="B84" t="str">
            <v>302-001274</v>
          </cell>
          <cell r="C84" t="str">
            <v>网卡 MCX512A-ACUT 25G/10G双口SFP28</v>
          </cell>
          <cell r="D84" t="str">
            <v>MCX512A-ACUT</v>
          </cell>
          <cell r="E84" t="str">
            <v>网卡</v>
          </cell>
          <cell r="F84">
            <v>5.7999999999999996E-3</v>
          </cell>
          <cell r="G84">
            <v>146</v>
          </cell>
          <cell r="I84" t="str">
            <v>99-000786</v>
          </cell>
        </row>
        <row r="85">
          <cell r="B85" t="str">
            <v>302-000178</v>
          </cell>
          <cell r="C85" t="str">
            <v>光模块-QSFP28-850nm-100G</v>
          </cell>
          <cell r="D85">
            <v>34061089</v>
          </cell>
          <cell r="E85" t="str">
            <v>光模块</v>
          </cell>
          <cell r="F85">
            <v>4.1999999999999997E-3</v>
          </cell>
          <cell r="G85">
            <v>3093</v>
          </cell>
          <cell r="I85" t="str">
            <v>99-003338</v>
          </cell>
        </row>
        <row r="86">
          <cell r="B86" t="str">
            <v>302-000446</v>
          </cell>
          <cell r="C86" t="str">
            <v>RISER2_2模组2*8X+16X</v>
          </cell>
          <cell r="D86">
            <v>2580143</v>
          </cell>
          <cell r="E86" t="str">
            <v>Riser模组</v>
          </cell>
          <cell r="F86">
            <v>5.0000000000000001E-3</v>
          </cell>
          <cell r="G86">
            <v>3556</v>
          </cell>
          <cell r="I86" t="str">
            <v>99-000446</v>
          </cell>
        </row>
        <row r="87">
          <cell r="B87" t="str">
            <v>302-000447</v>
          </cell>
          <cell r="C87" t="str">
            <v>RISER1_1模组2*8X+16X</v>
          </cell>
          <cell r="D87">
            <v>2580142</v>
          </cell>
          <cell r="E87" t="str">
            <v>Riser模组</v>
          </cell>
          <cell r="F87">
            <v>5.0000000000000001E-3</v>
          </cell>
          <cell r="G87">
            <v>3715</v>
          </cell>
          <cell r="I87" t="str">
            <v>99-000447</v>
          </cell>
        </row>
        <row r="88">
          <cell r="B88" t="str">
            <v>302-000057</v>
          </cell>
          <cell r="C88" t="str">
            <v>固态盘-960G-SATA PM883 2.5(3.5托)</v>
          </cell>
          <cell r="D88" t="str">
            <v>02312VXE</v>
          </cell>
          <cell r="E88" t="str">
            <v>硬盘</v>
          </cell>
          <cell r="F88">
            <v>5.4999999999999997E-3</v>
          </cell>
          <cell r="G88">
            <v>1658</v>
          </cell>
          <cell r="I88" t="str">
            <v>99-001016</v>
          </cell>
        </row>
        <row r="89">
          <cell r="B89" t="str">
            <v>302-001016</v>
          </cell>
          <cell r="C89" t="str">
            <v>SSD-960G-SATA PM883 2.5无托</v>
          </cell>
          <cell r="D89" t="str">
            <v>MZ7LH960HAJR-00005</v>
          </cell>
          <cell r="E89" t="str">
            <v>硬盘</v>
          </cell>
          <cell r="F89">
            <v>5.4999999999999997E-3</v>
          </cell>
          <cell r="G89">
            <v>7670</v>
          </cell>
          <cell r="I89" t="str">
            <v>99-001016</v>
          </cell>
        </row>
        <row r="90">
          <cell r="B90" t="str">
            <v>302-001007</v>
          </cell>
          <cell r="C90" t="str">
            <v>SSD PM883-960G-SATA-6G-2.5读取SX V1.0</v>
          </cell>
          <cell r="D90" t="str">
            <v>MZ7LH960HAJR-00005</v>
          </cell>
          <cell r="E90" t="str">
            <v>硬盘</v>
          </cell>
          <cell r="F90">
            <v>5.4999999999999997E-3</v>
          </cell>
          <cell r="G90">
            <v>26170</v>
          </cell>
          <cell r="I90" t="str">
            <v>99-001016</v>
          </cell>
        </row>
        <row r="91">
          <cell r="B91" t="str">
            <v>302-000045</v>
          </cell>
          <cell r="C91" t="str">
            <v>固态盘-960G-SATA PM883 2.5及托架</v>
          </cell>
          <cell r="D91" t="str">
            <v>02312VXD</v>
          </cell>
          <cell r="E91" t="str">
            <v>硬盘</v>
          </cell>
          <cell r="F91">
            <v>5.4999999999999997E-3</v>
          </cell>
          <cell r="G91">
            <v>602</v>
          </cell>
          <cell r="I91" t="str">
            <v>99-001016</v>
          </cell>
        </row>
        <row r="92">
          <cell r="B92" t="str">
            <v>302-000225</v>
          </cell>
          <cell r="C92" t="str">
            <v>固态盘 SSDSC2KB960G801(S4510 960G)</v>
          </cell>
          <cell r="D92" t="str">
            <v>SSDSC2KB960G801</v>
          </cell>
          <cell r="E92" t="str">
            <v>硬盘</v>
          </cell>
          <cell r="F92">
            <v>5.4999999999999997E-3</v>
          </cell>
          <cell r="G92">
            <v>21</v>
          </cell>
        </row>
        <row r="93">
          <cell r="B93" t="str">
            <v>302-000977</v>
          </cell>
          <cell r="C93" t="str">
            <v>S内存DDR4-32GB-2933-2Rank(2G*8bit) HLS</v>
          </cell>
          <cell r="D93" t="str">
            <v>HMAA4GR7AJR8N-WMT4</v>
          </cell>
          <cell r="E93" t="str">
            <v>内存</v>
          </cell>
          <cell r="F93">
            <v>2E-3</v>
          </cell>
          <cell r="G93">
            <v>10496</v>
          </cell>
          <cell r="I93" t="str">
            <v>99-000977</v>
          </cell>
        </row>
        <row r="94">
          <cell r="B94" t="str">
            <v>302-000558</v>
          </cell>
          <cell r="C94" t="str">
            <v>S内存DDR4-32GB-2933-2Rank(2G*8bit) HLS</v>
          </cell>
          <cell r="D94">
            <v>2510006</v>
          </cell>
          <cell r="E94" t="str">
            <v>内存</v>
          </cell>
          <cell r="F94">
            <v>2E-3</v>
          </cell>
          <cell r="G94">
            <v>11663</v>
          </cell>
          <cell r="I94" t="str">
            <v>99-000977</v>
          </cell>
        </row>
        <row r="95">
          <cell r="B95" t="str">
            <v>302-000985</v>
          </cell>
          <cell r="C95" t="str">
            <v>S内存DDR4-32G-2933-1Rx4-RD HLS V1.0</v>
          </cell>
          <cell r="D95" t="str">
            <v>HMAA4GR7AJR4N-WM</v>
          </cell>
          <cell r="E95" t="str">
            <v>内存</v>
          </cell>
          <cell r="F95">
            <v>2E-3</v>
          </cell>
          <cell r="G95">
            <v>21910</v>
          </cell>
        </row>
        <row r="96">
          <cell r="B96" t="str">
            <v>302-000711</v>
          </cell>
          <cell r="C96" t="str">
            <v>#S主板S920X00-2*5250(48C@2.6)-AH-1711</v>
          </cell>
          <cell r="D96" t="str">
            <v>03050CSH</v>
          </cell>
          <cell r="E96" t="str">
            <v>主板</v>
          </cell>
          <cell r="F96">
            <v>8.5000000000000006E-3</v>
          </cell>
          <cell r="G96">
            <v>6824</v>
          </cell>
          <cell r="I96" t="str">
            <v>99-000711</v>
          </cell>
        </row>
        <row r="97">
          <cell r="B97" t="str">
            <v>302-000001</v>
          </cell>
          <cell r="C97" t="str">
            <v>S主板S920X00-2*5250(48C@2.6)-1710</v>
          </cell>
          <cell r="D97" t="str">
            <v>03027WNC</v>
          </cell>
          <cell r="E97" t="str">
            <v>主板</v>
          </cell>
          <cell r="F97">
            <v>8.5000000000000006E-3</v>
          </cell>
          <cell r="G97">
            <v>302</v>
          </cell>
          <cell r="I97" t="str">
            <v>99-000711</v>
          </cell>
        </row>
        <row r="98">
          <cell r="B98" t="str">
            <v>302-000353</v>
          </cell>
          <cell r="C98" t="str">
            <v>#S主板S920X00-2*5250(48C@2.6)-AE-1710</v>
          </cell>
          <cell r="D98" t="str">
            <v>03050BDN</v>
          </cell>
          <cell r="E98" t="str">
            <v>主板</v>
          </cell>
          <cell r="F98">
            <v>8.5000000000000006E-3</v>
          </cell>
          <cell r="G98">
            <v>160</v>
          </cell>
          <cell r="I98" t="str">
            <v>99-000711</v>
          </cell>
        </row>
        <row r="99">
          <cell r="B99" t="str">
            <v>302-001358</v>
          </cell>
          <cell r="C99" t="str">
            <v>#S主板S920X00-2*5250(48C@2.6)-AH-1711-3A</v>
          </cell>
          <cell r="D99" t="str">
            <v>03050FMY</v>
          </cell>
          <cell r="E99" t="str">
            <v>主板</v>
          </cell>
          <cell r="F99">
            <v>8.5000000000000006E-3</v>
          </cell>
          <cell r="G99">
            <v>2740</v>
          </cell>
          <cell r="I99" t="str">
            <v>99-000711</v>
          </cell>
        </row>
        <row r="100">
          <cell r="B100" t="str">
            <v>302-001593</v>
          </cell>
          <cell r="C100" t="str">
            <v>S主板S920X00-5250-AH 2*(920,48C)1710 R2</v>
          </cell>
          <cell r="D100" t="str">
            <v>03050GHF</v>
          </cell>
          <cell r="E100" t="str">
            <v>主板</v>
          </cell>
          <cell r="F100">
            <v>8.5000000000000006E-3</v>
          </cell>
          <cell r="G100">
            <v>745</v>
          </cell>
          <cell r="I100" t="str">
            <v>99-000711</v>
          </cell>
        </row>
        <row r="101">
          <cell r="B101" t="str">
            <v>302-001616</v>
          </cell>
          <cell r="C101" t="str">
            <v>S主板 S920X00-5250-BB 2*(920,48C) 1711</v>
          </cell>
          <cell r="D101" t="str">
            <v>03050GHE</v>
          </cell>
          <cell r="E101" t="str">
            <v>主板</v>
          </cell>
          <cell r="F101">
            <v>8.5000000000000006E-3</v>
          </cell>
          <cell r="G101">
            <v>1575</v>
          </cell>
          <cell r="I101" t="str">
            <v>99-000711</v>
          </cell>
        </row>
        <row r="102">
          <cell r="B102" t="str">
            <v>302-002031</v>
          </cell>
          <cell r="C102" t="str">
            <v>S主板S920X00-2*5250(48C@2.6)-BJ-1711-VD-3A</v>
          </cell>
          <cell r="D102" t="str">
            <v>03050JKV</v>
          </cell>
          <cell r="E102" t="str">
            <v>主板</v>
          </cell>
          <cell r="F102">
            <v>8.5000000000000006E-3</v>
          </cell>
          <cell r="G102">
            <v>14345</v>
          </cell>
          <cell r="I102" t="str">
            <v>99-000711</v>
          </cell>
        </row>
        <row r="103">
          <cell r="B103" t="str">
            <v>302-002035</v>
          </cell>
          <cell r="C103" t="str">
            <v>S主板S920X00-2*5250(48C@2.6)-BL-VD-TZ</v>
          </cell>
          <cell r="D103" t="str">
            <v>03050JKW</v>
          </cell>
          <cell r="E103" t="str">
            <v>主板</v>
          </cell>
          <cell r="F103">
            <v>8.5000000000000006E-3</v>
          </cell>
          <cell r="G103">
            <v>38</v>
          </cell>
          <cell r="I103" t="str">
            <v>99-000711</v>
          </cell>
        </row>
        <row r="104">
          <cell r="B104" t="str">
            <v>302-000749</v>
          </cell>
          <cell r="C104" t="str">
            <v>网卡25G双口SFP28 Mellanox CX4-lx-kt</v>
          </cell>
          <cell r="D104" t="str">
            <v>MCX4121A-ACAT</v>
          </cell>
          <cell r="E104" t="str">
            <v>网卡</v>
          </cell>
          <cell r="F104">
            <v>5.7999999999999996E-3</v>
          </cell>
          <cell r="G104">
            <v>153</v>
          </cell>
          <cell r="I104" t="str">
            <v>99-000749</v>
          </cell>
        </row>
        <row r="105">
          <cell r="B105" t="str">
            <v>302-000135</v>
          </cell>
          <cell r="C105" t="str">
            <v>RAID标卡 9440-8i-PCIe no Cache</v>
          </cell>
          <cell r="D105">
            <v>2560009</v>
          </cell>
          <cell r="E105" t="str">
            <v>RAID卡</v>
          </cell>
          <cell r="F105">
            <v>7.7999999999999996E-3</v>
          </cell>
          <cell r="G105">
            <v>1176</v>
          </cell>
          <cell r="I105" t="str">
            <v>99-000135</v>
          </cell>
        </row>
        <row r="106">
          <cell r="B106" t="str">
            <v>302-001582</v>
          </cell>
          <cell r="C106" t="str">
            <v>9440-8i RAID标卡-PCIE 3.0 X8 -no cache</v>
          </cell>
          <cell r="D106">
            <v>2560037</v>
          </cell>
          <cell r="E106" t="str">
            <v>RAID卡</v>
          </cell>
          <cell r="F106">
            <v>7.7999999999999996E-3</v>
          </cell>
          <cell r="G106">
            <v>6592</v>
          </cell>
          <cell r="I106" t="str">
            <v>99-000135</v>
          </cell>
        </row>
        <row r="107">
          <cell r="B107" t="str">
            <v>302-001379</v>
          </cell>
          <cell r="C107" t="str">
            <v>RAID标卡 9440-8i-PCIe3.0×8-no Cache</v>
          </cell>
          <cell r="D107" t="str">
            <v>05-50008-02</v>
          </cell>
          <cell r="E107" t="str">
            <v>RAID卡</v>
          </cell>
          <cell r="F107">
            <v>7.7999999999999996E-3</v>
          </cell>
          <cell r="G107">
            <v>165</v>
          </cell>
          <cell r="I107" t="str">
            <v>99-000135</v>
          </cell>
        </row>
        <row r="108">
          <cell r="B108" t="str">
            <v>302-000881</v>
          </cell>
          <cell r="C108" t="str">
            <v>9440-8i RAID标卡-no Cache半高半长-A722</v>
          </cell>
          <cell r="D108" t="str">
            <v>02312WSF</v>
          </cell>
          <cell r="E108" t="str">
            <v>RAID卡</v>
          </cell>
          <cell r="F108">
            <v>7.7999999999999996E-3</v>
          </cell>
          <cell r="G108">
            <v>37</v>
          </cell>
          <cell r="I108" t="str">
            <v>99-000135</v>
          </cell>
        </row>
        <row r="109">
          <cell r="B109" t="str">
            <v>302-000153</v>
          </cell>
          <cell r="C109" t="str">
            <v>Riser1&amp;2模组 3*16X SLOT (PCIE X8)DMINI</v>
          </cell>
          <cell r="D109">
            <v>2580053</v>
          </cell>
          <cell r="E109" t="str">
            <v>Riser模组</v>
          </cell>
          <cell r="F109">
            <v>5.0000000000000001E-3</v>
          </cell>
          <cell r="G109">
            <v>71</v>
          </cell>
        </row>
        <row r="110">
          <cell r="B110" t="str">
            <v>302-001885</v>
          </cell>
          <cell r="C110" t="str">
            <v>2*16X SLOT(PCIE X8)RISER1&amp;2模组</v>
          </cell>
          <cell r="D110">
            <v>2580258</v>
          </cell>
          <cell r="E110" t="str">
            <v>Riser模组</v>
          </cell>
          <cell r="F110">
            <v>5.0000000000000001E-3</v>
          </cell>
          <cell r="G110">
            <v>5287</v>
          </cell>
        </row>
        <row r="111">
          <cell r="B111" t="str">
            <v>302-001887</v>
          </cell>
          <cell r="C111" t="str">
            <v>SF221Q 4*GE接口卡-2*1</v>
          </cell>
          <cell r="D111">
            <v>302023955</v>
          </cell>
          <cell r="E111" t="str">
            <v>接口卡</v>
          </cell>
          <cell r="F111">
            <v>7.7999999999999996E-3</v>
          </cell>
          <cell r="G111">
            <v>4194</v>
          </cell>
        </row>
        <row r="112">
          <cell r="B112" t="str">
            <v>302-001893</v>
          </cell>
          <cell r="C112" t="str">
            <v>S主板S920X10-2*7260(64C@2.6G)-AD-1711</v>
          </cell>
          <cell r="D112" t="str">
            <v>03050JMP</v>
          </cell>
          <cell r="E112" t="str">
            <v>主板</v>
          </cell>
          <cell r="F112">
            <v>8.5000000000000006E-3</v>
          </cell>
          <cell r="G112">
            <v>719</v>
          </cell>
          <cell r="I112" t="str">
            <v>99-001893</v>
          </cell>
        </row>
        <row r="113">
          <cell r="B113" t="str">
            <v>302-000027</v>
          </cell>
          <cell r="C113" t="str">
            <v>S内存DDR4-32G-2933MT/s-2Rank(2G*4bit)</v>
          </cell>
          <cell r="D113" t="str">
            <v>02312VWJ</v>
          </cell>
          <cell r="E113" t="str">
            <v>内存</v>
          </cell>
          <cell r="F113">
            <v>2E-3</v>
          </cell>
          <cell r="G113">
            <v>30</v>
          </cell>
        </row>
        <row r="114">
          <cell r="B114" t="str">
            <v>302-000023</v>
          </cell>
          <cell r="C114" t="str">
            <v>S内存DDR4-16G-2933MT/s-2Rank(1G*8bit)</v>
          </cell>
          <cell r="D114">
            <v>2510003</v>
          </cell>
          <cell r="E114" t="str">
            <v>内存</v>
          </cell>
          <cell r="F114">
            <v>2E-3</v>
          </cell>
          <cell r="G114">
            <v>27</v>
          </cell>
        </row>
        <row r="115">
          <cell r="B115" t="str">
            <v>302-001070</v>
          </cell>
          <cell r="C115" t="str">
            <v>S硬盘4T-3.5SATA-6G7.2K-256M-XS V1.0</v>
          </cell>
          <cell r="D115" t="str">
            <v>HUS726T4TALA600</v>
          </cell>
          <cell r="E115" t="str">
            <v>硬盘</v>
          </cell>
          <cell r="F115">
            <v>5.4999999999999997E-3</v>
          </cell>
          <cell r="G115">
            <v>59</v>
          </cell>
          <cell r="I115" t="str">
            <v>99-001049</v>
          </cell>
        </row>
        <row r="116">
          <cell r="B116" t="str">
            <v>302-000568</v>
          </cell>
          <cell r="C116" t="str">
            <v>硬盘4T-SATA 6Gb/s-7.2K 3.5及托 XS</v>
          </cell>
          <cell r="D116" t="str">
            <v>02312VWS</v>
          </cell>
          <cell r="E116" t="str">
            <v>硬盘</v>
          </cell>
          <cell r="F116">
            <v>5.4999999999999997E-3</v>
          </cell>
          <cell r="G116">
            <v>1518</v>
          </cell>
          <cell r="I116" t="str">
            <v>99-001049</v>
          </cell>
        </row>
        <row r="117">
          <cell r="B117" t="str">
            <v>302-000565</v>
          </cell>
          <cell r="C117" t="str">
            <v>硬盘4T-SATA 6Gb/s-7.2K 3.5及托 XJ</v>
          </cell>
          <cell r="D117" t="str">
            <v>02312VWS</v>
          </cell>
          <cell r="E117" t="str">
            <v>硬盘</v>
          </cell>
          <cell r="F117">
            <v>5.4999999999999997E-3</v>
          </cell>
          <cell r="G117">
            <v>6948</v>
          </cell>
          <cell r="I117" t="str">
            <v>99-001049</v>
          </cell>
        </row>
        <row r="118">
          <cell r="B118" t="str">
            <v>302-000652</v>
          </cell>
          <cell r="C118" t="str">
            <v>硬盘4T-SATA 6Gb/s-7.2K 3.5及托 备 XJ</v>
          </cell>
          <cell r="D118" t="str">
            <v>02312VWS=</v>
          </cell>
          <cell r="E118" t="str">
            <v>硬盘</v>
          </cell>
          <cell r="F118">
            <v>5.4999999999999997E-3</v>
          </cell>
          <cell r="G118">
            <v>26</v>
          </cell>
          <cell r="I118" t="str">
            <v>99-001049</v>
          </cell>
        </row>
        <row r="119">
          <cell r="B119" t="str">
            <v>302-000904</v>
          </cell>
          <cell r="C119" t="str">
            <v>硬盘4T-SATA 6Gb/s-7.2K 3.5无托 XS</v>
          </cell>
          <cell r="D119" t="str">
            <v>HUS726T4TALA6L4</v>
          </cell>
          <cell r="E119" t="str">
            <v>硬盘</v>
          </cell>
          <cell r="F119">
            <v>5.4999999999999997E-3</v>
          </cell>
          <cell r="G119">
            <v>0</v>
          </cell>
          <cell r="I119" t="str">
            <v>99-001049</v>
          </cell>
        </row>
        <row r="120">
          <cell r="B120" t="str">
            <v>302-000792</v>
          </cell>
          <cell r="C120" t="str">
            <v>S硬盘4T-3.5SATA-6G7.2K-128M-DZ V1.0</v>
          </cell>
          <cell r="D120" t="str">
            <v>MG04ACA400N</v>
          </cell>
          <cell r="E120" t="str">
            <v>硬盘</v>
          </cell>
          <cell r="F120">
            <v>5.4999999999999997E-3</v>
          </cell>
          <cell r="G120">
            <v>106</v>
          </cell>
          <cell r="I120" t="str">
            <v>99-001049</v>
          </cell>
        </row>
        <row r="121">
          <cell r="B121" t="str">
            <v>302-001049</v>
          </cell>
          <cell r="C121" t="str">
            <v>S硬盘4T-3.5SATA-6G7.2K-256M-DZ V1.0</v>
          </cell>
          <cell r="D121" t="str">
            <v>MG08ADA400N</v>
          </cell>
          <cell r="E121" t="str">
            <v>硬盘</v>
          </cell>
          <cell r="F121">
            <v>5.4999999999999997E-3</v>
          </cell>
          <cell r="G121">
            <v>5369</v>
          </cell>
          <cell r="I121" t="str">
            <v>99-001049</v>
          </cell>
        </row>
        <row r="122">
          <cell r="B122" t="str">
            <v>302-001815</v>
          </cell>
          <cell r="C122" t="str">
            <v>S硬盘4T-3.5SATA-6G7.2K-256M-XJ V1.0</v>
          </cell>
          <cell r="D122" t="str">
            <v>02311AYV</v>
          </cell>
          <cell r="E122" t="str">
            <v>硬盘</v>
          </cell>
          <cell r="F122">
            <v>5.4999999999999997E-3</v>
          </cell>
          <cell r="G122">
            <v>24151</v>
          </cell>
          <cell r="I122" t="str">
            <v>99-001049</v>
          </cell>
        </row>
        <row r="123">
          <cell r="B123" t="str">
            <v>302-000146</v>
          </cell>
          <cell r="C123" t="str">
            <v>硬盘背板组件 PSU 4*2.5寸支持NVME</v>
          </cell>
          <cell r="D123" t="str">
            <v>02312VXS</v>
          </cell>
          <cell r="E123" t="str">
            <v>后置硬盘背板</v>
          </cell>
          <cell r="F123">
            <v>2.8999999999999998E-3</v>
          </cell>
          <cell r="G123">
            <v>16745</v>
          </cell>
          <cell r="I123" t="str">
            <v>99-000146</v>
          </cell>
        </row>
        <row r="124">
          <cell r="B124" t="str">
            <v>302-001122</v>
          </cell>
          <cell r="C124" t="str">
            <v>SSD UH810a-7.68TB-NVMe4.0-2.5读取YL V1.0</v>
          </cell>
          <cell r="D124" t="str">
            <v>RP2007T6RK004LX</v>
          </cell>
          <cell r="E124" t="str">
            <v>硬盘</v>
          </cell>
          <cell r="F124">
            <v>5.4999999999999997E-3</v>
          </cell>
          <cell r="G124">
            <v>337</v>
          </cell>
          <cell r="I124" t="str">
            <v>99-002086</v>
          </cell>
        </row>
        <row r="125">
          <cell r="B125" t="str">
            <v>302-000354</v>
          </cell>
          <cell r="C125" t="str">
            <v>#S主板S920X00-2*7260(64C@2.6)-AE-1710</v>
          </cell>
          <cell r="D125" t="str">
            <v>03050BDM</v>
          </cell>
          <cell r="E125" t="str">
            <v>主板</v>
          </cell>
          <cell r="F125">
            <v>8.5000000000000006E-3</v>
          </cell>
          <cell r="G125">
            <v>338</v>
          </cell>
          <cell r="I125" t="str">
            <v>99-000712</v>
          </cell>
        </row>
        <row r="126">
          <cell r="B126" t="str">
            <v>302-000712</v>
          </cell>
          <cell r="C126" t="str">
            <v>#S主板S920X00-2*7260(64C@2.6)-AH-1711</v>
          </cell>
          <cell r="D126" t="str">
            <v>03050CSV</v>
          </cell>
          <cell r="E126" t="str">
            <v>主板</v>
          </cell>
          <cell r="F126">
            <v>8.5000000000000006E-3</v>
          </cell>
          <cell r="G126">
            <v>4050</v>
          </cell>
          <cell r="I126" t="str">
            <v>99-000712</v>
          </cell>
        </row>
        <row r="127">
          <cell r="B127" t="str">
            <v>302-000000</v>
          </cell>
          <cell r="C127" t="str">
            <v>S主板 S920X00-7260 2*920,64C-1710</v>
          </cell>
          <cell r="D127" t="str">
            <v>03027WNA</v>
          </cell>
          <cell r="E127" t="str">
            <v>主板</v>
          </cell>
          <cell r="F127">
            <v>8.5000000000000006E-3</v>
          </cell>
          <cell r="G127">
            <v>375</v>
          </cell>
          <cell r="I127" t="str">
            <v>99-000712</v>
          </cell>
        </row>
        <row r="128">
          <cell r="B128" t="str">
            <v>302-001357</v>
          </cell>
          <cell r="C128" t="str">
            <v>#S主板S920X00-2*7260(64C@2.6)-AH-1711-3A</v>
          </cell>
          <cell r="D128" t="str">
            <v>03050FNA</v>
          </cell>
          <cell r="E128" t="str">
            <v>主板</v>
          </cell>
          <cell r="F128">
            <v>8.5000000000000006E-3</v>
          </cell>
          <cell r="G128">
            <v>2512</v>
          </cell>
          <cell r="I128" t="str">
            <v>99-000712</v>
          </cell>
        </row>
        <row r="129">
          <cell r="B129" t="str">
            <v>302-001592</v>
          </cell>
          <cell r="C129" t="str">
            <v>#S主板S920X00-2*7260(64C@2.6)-AH-1710</v>
          </cell>
          <cell r="D129" t="str">
            <v>03050GHG</v>
          </cell>
          <cell r="E129" t="str">
            <v>主板</v>
          </cell>
          <cell r="F129">
            <v>8.5000000000000006E-3</v>
          </cell>
          <cell r="G129">
            <v>975</v>
          </cell>
          <cell r="I129" t="str">
            <v>99-000712</v>
          </cell>
        </row>
        <row r="130">
          <cell r="B130" t="str">
            <v>302-001710</v>
          </cell>
          <cell r="C130" t="str">
            <v>S主板S920X00-7260-2*(920,64C)1711</v>
          </cell>
          <cell r="D130" t="str">
            <v>03050GGQ</v>
          </cell>
          <cell r="E130" t="str">
            <v>主板</v>
          </cell>
          <cell r="F130">
            <v>8.5000000000000006E-3</v>
          </cell>
          <cell r="G130">
            <v>2557</v>
          </cell>
          <cell r="I130" t="str">
            <v>99-000712</v>
          </cell>
        </row>
        <row r="131">
          <cell r="B131" t="str">
            <v>302-001601</v>
          </cell>
          <cell r="C131" t="str">
            <v>S主板S920X00-7260-AH 2*(920,64C)1711 R2</v>
          </cell>
          <cell r="D131" t="str">
            <v>03050GFA</v>
          </cell>
          <cell r="E131" t="str">
            <v>主板</v>
          </cell>
          <cell r="F131">
            <v>8.5000000000000006E-3</v>
          </cell>
          <cell r="G131">
            <v>309</v>
          </cell>
          <cell r="I131" t="str">
            <v>99-000712</v>
          </cell>
        </row>
        <row r="132">
          <cell r="B132" t="str">
            <v>302-002030</v>
          </cell>
          <cell r="C132" t="str">
            <v>#S主板S920X00-2*7260(64C@2.6)BF-1711-3A-VD</v>
          </cell>
          <cell r="D132" t="str">
            <v>03050JKT</v>
          </cell>
          <cell r="E132" t="str">
            <v>主板</v>
          </cell>
          <cell r="F132">
            <v>8.5000000000000006E-3</v>
          </cell>
          <cell r="G132">
            <v>17291</v>
          </cell>
          <cell r="I132" t="str">
            <v>99-000712</v>
          </cell>
        </row>
        <row r="133">
          <cell r="B133" t="str">
            <v>302-002112</v>
          </cell>
          <cell r="C133" t="str">
            <v>S主板S920X00-2*7260(64C@2.6)-AG-VD-1711</v>
          </cell>
          <cell r="D133" t="str">
            <v>03050JMB</v>
          </cell>
          <cell r="E133" t="str">
            <v>主板</v>
          </cell>
          <cell r="F133">
            <v>8.5000000000000006E-3</v>
          </cell>
          <cell r="G133">
            <v>125</v>
          </cell>
          <cell r="I133" t="str">
            <v>99-000712</v>
          </cell>
        </row>
        <row r="134">
          <cell r="B134" t="str">
            <v>302-002034</v>
          </cell>
          <cell r="C134" t="str">
            <v>S主板S920X00-2*7260(64C@2.6)-BE-VD-TZ</v>
          </cell>
          <cell r="D134" t="str">
            <v>03050JKU</v>
          </cell>
          <cell r="E134" t="str">
            <v>主板</v>
          </cell>
          <cell r="F134">
            <v>8.5000000000000006E-3</v>
          </cell>
          <cell r="G134">
            <v>20</v>
          </cell>
          <cell r="I134" t="str">
            <v>99-000712</v>
          </cell>
        </row>
        <row r="135">
          <cell r="B135" t="str">
            <v>302-002631</v>
          </cell>
          <cell r="C135" t="str">
            <v>S主板 S920X00-2*7260 (64C@2.6) -AV-VD-TZ-1711</v>
          </cell>
          <cell r="D135" t="str">
            <v>03050GLQ</v>
          </cell>
          <cell r="E135" t="str">
            <v>主板</v>
          </cell>
          <cell r="F135">
            <v>8.5000000000000006E-3</v>
          </cell>
          <cell r="G135">
            <v>279</v>
          </cell>
          <cell r="I135" t="str">
            <v>99-000712</v>
          </cell>
        </row>
        <row r="136">
          <cell r="B136" t="str">
            <v>302-000014</v>
          </cell>
          <cell r="C136" t="str">
            <v>机箱 8SAS+12NVME硬盘 2U2P,K22R-02</v>
          </cell>
          <cell r="D136" t="str">
            <v>02312WWX</v>
          </cell>
          <cell r="E136" t="str">
            <v>机箱/硬盘背板</v>
          </cell>
          <cell r="F136">
            <v>2.8999999999999998E-3</v>
          </cell>
          <cell r="G136">
            <v>399</v>
          </cell>
          <cell r="I136" t="str">
            <v>88-000290</v>
          </cell>
        </row>
        <row r="137">
          <cell r="B137" t="str">
            <v>302-000018</v>
          </cell>
          <cell r="C137" t="str">
            <v>机箱 8SAS+12NVME硬盘 2U2P,K22R-02 1620S</v>
          </cell>
          <cell r="D137" t="str">
            <v>02312YTF</v>
          </cell>
          <cell r="E137" t="str">
            <v>机箱/硬盘背板</v>
          </cell>
          <cell r="F137">
            <v>2.8999999999999998E-3</v>
          </cell>
          <cell r="G137">
            <v>41</v>
          </cell>
          <cell r="I137" t="str">
            <v>88-000290</v>
          </cell>
        </row>
        <row r="138">
          <cell r="B138" t="str">
            <v>302-001695</v>
          </cell>
          <cell r="C138" t="str">
            <v>机箱 8SAS+12NVME硬盘 2U2P-无RAID SAS线</v>
          </cell>
          <cell r="D138" t="str">
            <v>02314CRM</v>
          </cell>
          <cell r="E138" t="str">
            <v>机箱/硬盘背板</v>
          </cell>
          <cell r="F138">
            <v>2.8999999999999998E-3</v>
          </cell>
          <cell r="G138">
            <v>333</v>
          </cell>
          <cell r="I138" t="str">
            <v>88-000493</v>
          </cell>
        </row>
        <row r="139">
          <cell r="B139" t="str">
            <v>302-000290</v>
          </cell>
          <cell r="C139" t="str">
            <v>硬盘背板-2288H V5-BC11THBS</v>
          </cell>
          <cell r="D139" t="str">
            <v>03025EUL</v>
          </cell>
          <cell r="E139" t="str">
            <v>机箱/硬盘背板</v>
          </cell>
          <cell r="F139">
            <v>2.8999999999999998E-3</v>
          </cell>
          <cell r="G139">
            <v>1</v>
          </cell>
          <cell r="I139" t="str">
            <v>88-000290</v>
          </cell>
        </row>
        <row r="140">
          <cell r="B140" t="str">
            <v>302-001871</v>
          </cell>
          <cell r="C140" t="str">
            <v>前置8SAS/SATA+12NVMe 2.5硬盘背板</v>
          </cell>
          <cell r="D140" t="str">
            <v>03029TDE</v>
          </cell>
          <cell r="E140" t="str">
            <v>机箱/硬盘背板</v>
          </cell>
          <cell r="F140">
            <v>2.8999999999999998E-3</v>
          </cell>
          <cell r="G140">
            <v>15</v>
          </cell>
          <cell r="I140" t="str">
            <v>88-000290</v>
          </cell>
        </row>
        <row r="141">
          <cell r="B141" t="str">
            <v>302-000493</v>
          </cell>
          <cell r="C141" t="str">
            <v>背板-8SAS+12NVME-NVMe4.0</v>
          </cell>
          <cell r="D141" t="str">
            <v>03028GDX</v>
          </cell>
          <cell r="E141" t="str">
            <v>机箱/硬盘背板</v>
          </cell>
          <cell r="F141">
            <v>2.8999999999999998E-3</v>
          </cell>
          <cell r="G141">
            <v>0</v>
          </cell>
          <cell r="I141" t="str">
            <v>88-000493</v>
          </cell>
        </row>
        <row r="142">
          <cell r="B142" t="str">
            <v>302-000345</v>
          </cell>
          <cell r="C142" t="str">
            <v>RISER卡模组 12 NVME</v>
          </cell>
          <cell r="D142" t="str">
            <v>02312NFN</v>
          </cell>
          <cell r="E142" t="str">
            <v>Riser模组</v>
          </cell>
          <cell r="F142">
            <v>5.0000000000000001E-3</v>
          </cell>
          <cell r="G142">
            <v>44</v>
          </cell>
        </row>
        <row r="143">
          <cell r="B143" t="str">
            <v>302-000592</v>
          </cell>
          <cell r="C143" t="str">
            <v>S硬盘8T-3.5SATA-6G7.2K-256M-DZ V1.0</v>
          </cell>
          <cell r="D143" t="str">
            <v>02312VWT</v>
          </cell>
          <cell r="E143" t="str">
            <v>硬盘</v>
          </cell>
          <cell r="F143">
            <v>5.4999999999999997E-3</v>
          </cell>
          <cell r="G143">
            <v>32496</v>
          </cell>
          <cell r="I143" t="str">
            <v>99-001043</v>
          </cell>
        </row>
        <row r="144">
          <cell r="B144" t="str">
            <v>302-001043</v>
          </cell>
          <cell r="C144" t="str">
            <v>S硬盘8T-3.5SATA-6G7.2K-256M-DZ V1.0</v>
          </cell>
          <cell r="D144" t="str">
            <v>MG08ADA800E</v>
          </cell>
          <cell r="E144" t="str">
            <v>硬盘</v>
          </cell>
          <cell r="F144">
            <v>5.4999999999999997E-3</v>
          </cell>
          <cell r="G144">
            <v>14781</v>
          </cell>
          <cell r="I144" t="str">
            <v>99-001043</v>
          </cell>
        </row>
        <row r="145">
          <cell r="B145" t="str">
            <v>302-000594</v>
          </cell>
          <cell r="C145" t="str">
            <v>硬盘8T-SATA 6Gb/s-7.2K-3.5及托 DZ</v>
          </cell>
          <cell r="D145" t="str">
            <v>02312VWT</v>
          </cell>
          <cell r="E145" t="str">
            <v>硬盘</v>
          </cell>
          <cell r="F145">
            <v>5.4999999999999997E-3</v>
          </cell>
          <cell r="G145">
            <v>78</v>
          </cell>
          <cell r="I145" t="str">
            <v>99-001043</v>
          </cell>
        </row>
        <row r="146">
          <cell r="B146" t="str">
            <v>302-001672</v>
          </cell>
          <cell r="C146" t="str">
            <v>S硬盘8T-3.5SATA-6G7.2K-256M-DZ-[AVAP]</v>
          </cell>
          <cell r="D146" t="str">
            <v>MG08ADA800E</v>
          </cell>
          <cell r="E146" t="str">
            <v>硬盘</v>
          </cell>
          <cell r="F146">
            <v>5.4999999999999997E-3</v>
          </cell>
          <cell r="G146">
            <v>50267</v>
          </cell>
          <cell r="I146" t="str">
            <v>99-001043</v>
          </cell>
        </row>
        <row r="147">
          <cell r="B147" t="str">
            <v>302-000589</v>
          </cell>
          <cell r="C147" t="str">
            <v>硬盘8T-SATA 6Gb/s-7.2K-3.5及托 XS</v>
          </cell>
          <cell r="D147" t="str">
            <v>02312VWT</v>
          </cell>
          <cell r="E147" t="str">
            <v>硬盘</v>
          </cell>
          <cell r="F147">
            <v>5.4999999999999997E-3</v>
          </cell>
          <cell r="G147">
            <v>0</v>
          </cell>
          <cell r="I147" t="str">
            <v>99-001043</v>
          </cell>
        </row>
        <row r="148">
          <cell r="B148" t="str">
            <v>302-001065</v>
          </cell>
          <cell r="C148" t="str">
            <v>S硬盘8T-3.5SATA-6G7.2K-256M-XJ V1.1</v>
          </cell>
          <cell r="D148" t="str">
            <v>ST8000NM000A</v>
          </cell>
          <cell r="E148" t="str">
            <v>硬盘</v>
          </cell>
          <cell r="F148">
            <v>5.4999999999999997E-3</v>
          </cell>
          <cell r="G148">
            <v>9318</v>
          </cell>
          <cell r="I148" t="str">
            <v>99-001043</v>
          </cell>
        </row>
        <row r="149">
          <cell r="B149" t="str">
            <v>302-000587</v>
          </cell>
          <cell r="C149" t="str">
            <v>硬盘8T-SATA 6Gb/s-7.2K-3.5及托 备 XJ</v>
          </cell>
          <cell r="D149" t="str">
            <v>02312VWT=</v>
          </cell>
          <cell r="E149" t="str">
            <v>硬盘</v>
          </cell>
          <cell r="F149">
            <v>5.4999999999999997E-3</v>
          </cell>
          <cell r="G149">
            <v>1238</v>
          </cell>
          <cell r="I149" t="str">
            <v>99-001043</v>
          </cell>
        </row>
        <row r="150">
          <cell r="B150" t="str">
            <v>302-001241</v>
          </cell>
          <cell r="C150" t="str">
            <v>S硬盘8T-3.5SATA-6G7.2K-256M-XS-[AVAP]</v>
          </cell>
          <cell r="D150" t="str">
            <v>HUS728T8TALE6L4</v>
          </cell>
          <cell r="E150" t="str">
            <v>硬盘</v>
          </cell>
          <cell r="F150">
            <v>5.4999999999999997E-3</v>
          </cell>
          <cell r="G150">
            <v>64517</v>
          </cell>
          <cell r="I150" t="str">
            <v>99-001043</v>
          </cell>
        </row>
        <row r="151">
          <cell r="B151" t="str">
            <v>302-001816</v>
          </cell>
          <cell r="C151" t="str">
            <v>S硬盘8T-3.5SATA-6G7.2K-256M-XJ V1.2</v>
          </cell>
          <cell r="D151" t="str">
            <v>02311JRE</v>
          </cell>
          <cell r="E151" t="str">
            <v>硬盘</v>
          </cell>
          <cell r="F151">
            <v>5.4999999999999997E-3</v>
          </cell>
          <cell r="G151">
            <v>19232</v>
          </cell>
          <cell r="I151" t="str">
            <v>99-001043</v>
          </cell>
        </row>
        <row r="152">
          <cell r="B152" t="str">
            <v>302-000263</v>
          </cell>
          <cell r="C152" t="str">
            <v>S硬盘8T-3.5SATA-6G7.2K-256M-XJ V1.0</v>
          </cell>
          <cell r="D152" t="str">
            <v>1RM112-177</v>
          </cell>
          <cell r="E152" t="str">
            <v>硬盘</v>
          </cell>
          <cell r="F152">
            <v>5.4999999999999997E-3</v>
          </cell>
          <cell r="G152">
            <v>11</v>
          </cell>
          <cell r="I152" t="str">
            <v>99-001043</v>
          </cell>
        </row>
        <row r="153">
          <cell r="B153" t="str">
            <v>302-002049</v>
          </cell>
          <cell r="C153" t="str">
            <v>S硬盘8T-3.5SATA-6G7.2K-256M-XJ-[AVAP]</v>
          </cell>
          <cell r="D153" t="str">
            <v>2TJ103-703</v>
          </cell>
          <cell r="E153" t="str">
            <v>硬盘</v>
          </cell>
          <cell r="F153">
            <v>5.4999999999999997E-3</v>
          </cell>
          <cell r="G153">
            <v>12112</v>
          </cell>
          <cell r="I153" t="str">
            <v>99-001043</v>
          </cell>
        </row>
        <row r="154">
          <cell r="B154" t="str">
            <v>302-001238</v>
          </cell>
          <cell r="C154" t="str">
            <v>硬盘8T-SATA 6Gb/s-7.2K-3.5无托 XJ</v>
          </cell>
          <cell r="D154" t="str">
            <v>2TJ103177/99015JFD</v>
          </cell>
          <cell r="E154" t="str">
            <v>硬盘</v>
          </cell>
          <cell r="F154">
            <v>5.4999999999999997E-3</v>
          </cell>
          <cell r="G154">
            <v>91136</v>
          </cell>
          <cell r="I154" t="str">
            <v>99-001043</v>
          </cell>
        </row>
        <row r="155">
          <cell r="B155" t="str">
            <v>302-000346</v>
          </cell>
          <cell r="C155" t="str">
            <v>RISER1模组-2*2.5"后置硬盘背板+16X-SAS RISER专用</v>
          </cell>
          <cell r="D155">
            <v>2580066</v>
          </cell>
          <cell r="E155" t="str">
            <v>Riser模组</v>
          </cell>
          <cell r="F155">
            <v>5.0000000000000001E-3</v>
          </cell>
          <cell r="G155">
            <v>1347</v>
          </cell>
          <cell r="I155" t="str">
            <v>99-000346</v>
          </cell>
        </row>
        <row r="156">
          <cell r="B156" t="str">
            <v>302-000371</v>
          </cell>
          <cell r="C156" t="str">
            <v>#S主板S920X00K-2*7261K(64C@2.6)-AD-1710</v>
          </cell>
          <cell r="D156" t="str">
            <v>03050AMU</v>
          </cell>
          <cell r="E156" t="str">
            <v>主板</v>
          </cell>
          <cell r="F156">
            <v>8.5000000000000006E-3</v>
          </cell>
          <cell r="G156">
            <v>152</v>
          </cell>
          <cell r="I156" t="str">
            <v>99-000706</v>
          </cell>
        </row>
        <row r="157">
          <cell r="B157" t="str">
            <v>302-000706</v>
          </cell>
          <cell r="C157" t="str">
            <v>#S主板S920X00K-2*7261K(64C@2.6)-AH-VD-1711</v>
          </cell>
          <cell r="D157" t="str">
            <v>03050CSS</v>
          </cell>
          <cell r="E157" t="str">
            <v>主板</v>
          </cell>
          <cell r="F157">
            <v>8.5000000000000006E-3</v>
          </cell>
          <cell r="G157">
            <v>3486</v>
          </cell>
          <cell r="I157" t="str">
            <v>99-000706</v>
          </cell>
        </row>
        <row r="158">
          <cell r="B158" t="str">
            <v>302-001614</v>
          </cell>
          <cell r="C158" t="str">
            <v>S主板 S920X00K-7261K-AE 2*(920,64C)1710</v>
          </cell>
          <cell r="D158" t="str">
            <v>03050BGR</v>
          </cell>
          <cell r="E158" t="str">
            <v>主板</v>
          </cell>
          <cell r="F158">
            <v>8.5000000000000006E-3</v>
          </cell>
          <cell r="G158">
            <v>15</v>
          </cell>
          <cell r="I158" t="str">
            <v>99-000706</v>
          </cell>
        </row>
        <row r="159">
          <cell r="B159" t="str">
            <v>302-001599</v>
          </cell>
          <cell r="C159" t="str">
            <v>S主板S920X00K-7261K-AH 2*(920,64C)1711R1</v>
          </cell>
          <cell r="D159" t="str">
            <v>03050GFC</v>
          </cell>
          <cell r="E159" t="str">
            <v>主板</v>
          </cell>
          <cell r="F159">
            <v>8.5000000000000006E-3</v>
          </cell>
          <cell r="G159">
            <v>68</v>
          </cell>
          <cell r="I159" t="str">
            <v>99-000706</v>
          </cell>
        </row>
        <row r="160">
          <cell r="B160" t="str">
            <v>302-001781</v>
          </cell>
          <cell r="C160" t="str">
            <v>#S主板S920X00K-2*7261K(64C@2.6)-AM-1711</v>
          </cell>
          <cell r="D160" t="str">
            <v>03050GGS</v>
          </cell>
          <cell r="E160" t="str">
            <v>主板</v>
          </cell>
          <cell r="F160">
            <v>8.5000000000000006E-3</v>
          </cell>
          <cell r="G160">
            <v>55</v>
          </cell>
          <cell r="I160" t="str">
            <v>99-000706</v>
          </cell>
        </row>
        <row r="161">
          <cell r="B161" t="str">
            <v>302-002033</v>
          </cell>
          <cell r="C161" t="str">
            <v>S主板S920X00K-2*7261K(64C@2.6)-BC-VD</v>
          </cell>
          <cell r="D161" t="str">
            <v>03050JKS</v>
          </cell>
          <cell r="E161" t="str">
            <v>主板</v>
          </cell>
          <cell r="F161">
            <v>8.5000000000000006E-3</v>
          </cell>
          <cell r="G161">
            <v>4422</v>
          </cell>
          <cell r="I161" t="str">
            <v>99-000706</v>
          </cell>
        </row>
        <row r="162">
          <cell r="B162" t="str">
            <v>302-000359</v>
          </cell>
          <cell r="C162" t="str">
            <v>机箱 12*3.5英寸硬盘直通,K22R-02</v>
          </cell>
          <cell r="D162" t="str">
            <v>02313BSR</v>
          </cell>
          <cell r="E162" t="str">
            <v>机箱/硬盘背板</v>
          </cell>
          <cell r="F162">
            <v>2.8999999999999998E-3</v>
          </cell>
          <cell r="G162">
            <v>362</v>
          </cell>
          <cell r="I162" t="str">
            <v>88-000296</v>
          </cell>
        </row>
        <row r="163">
          <cell r="B163" t="str">
            <v>302-000504</v>
          </cell>
          <cell r="C163" t="str">
            <v>机箱 12*3.5硬盘直通 2U,K22R-02 1620S</v>
          </cell>
          <cell r="D163" t="str">
            <v>02313FPK</v>
          </cell>
          <cell r="E163" t="str">
            <v>机箱/硬盘背板</v>
          </cell>
          <cell r="F163">
            <v>2.8999999999999998E-3</v>
          </cell>
          <cell r="G163">
            <v>1224</v>
          </cell>
          <cell r="I163" t="str">
            <v>88-000296</v>
          </cell>
        </row>
        <row r="164">
          <cell r="B164" t="str">
            <v>302-000011</v>
          </cell>
          <cell r="C164" t="str">
            <v>机箱 12*3.5硬盘直通 2U2P,K22R-02</v>
          </cell>
          <cell r="D164" t="str">
            <v>02312WWU</v>
          </cell>
          <cell r="E164" t="str">
            <v>机箱/硬盘背板</v>
          </cell>
          <cell r="F164">
            <v>2.8999999999999998E-3</v>
          </cell>
          <cell r="G164">
            <v>6</v>
          </cell>
          <cell r="I164" t="str">
            <v>88-000296</v>
          </cell>
        </row>
        <row r="165">
          <cell r="B165" t="str">
            <v>302-001290</v>
          </cell>
          <cell r="C165" t="str">
            <v>服务器12*3.5英寸硬盘直通机箱-A222</v>
          </cell>
          <cell r="D165">
            <v>2301750</v>
          </cell>
          <cell r="E165" t="str">
            <v>机箱/硬盘背板</v>
          </cell>
          <cell r="F165">
            <v>2.8999999999999998E-3</v>
          </cell>
          <cell r="G165">
            <v>551</v>
          </cell>
          <cell r="I165" t="str">
            <v>88-000296</v>
          </cell>
        </row>
        <row r="166">
          <cell r="B166" t="str">
            <v>302-000296</v>
          </cell>
          <cell r="C166" t="str">
            <v>12*3.5英寸硬盘背板-BC82HBBC</v>
          </cell>
          <cell r="D166" t="str">
            <v>03025VYU</v>
          </cell>
          <cell r="E166" t="str">
            <v>机箱/硬盘背板</v>
          </cell>
          <cell r="F166">
            <v>2.8999999999999998E-3</v>
          </cell>
          <cell r="G166">
            <v>139</v>
          </cell>
          <cell r="I166" t="str">
            <v>88-000296</v>
          </cell>
        </row>
        <row r="167">
          <cell r="B167" t="str">
            <v>302-000224</v>
          </cell>
          <cell r="C167" t="str">
            <v>SSD S4510-480G-SATA-6G-2.5读取YTL V1.0</v>
          </cell>
          <cell r="D167" t="str">
            <v>SSDSC2KB480G801</v>
          </cell>
          <cell r="E167" t="str">
            <v>硬盘</v>
          </cell>
          <cell r="F167">
            <v>5.4999999999999997E-3</v>
          </cell>
          <cell r="G167">
            <v>51</v>
          </cell>
        </row>
        <row r="168">
          <cell r="B168" t="str">
            <v>302-000741</v>
          </cell>
          <cell r="C168" t="str">
            <v>SSD DSS200-B-480G-SATA-6G-2.5读取DT V1.0</v>
          </cell>
          <cell r="D168" t="str">
            <v>DSS200-B</v>
          </cell>
          <cell r="E168" t="str">
            <v>硬盘</v>
          </cell>
          <cell r="F168">
            <v>5.4999999999999997E-3</v>
          </cell>
          <cell r="G168">
            <v>2024</v>
          </cell>
          <cell r="I168" t="str">
            <v>99-000741</v>
          </cell>
        </row>
        <row r="169">
          <cell r="B169" t="str">
            <v>302-000053</v>
          </cell>
          <cell r="C169" t="str">
            <v>固态盘-480G-SATA PM883 2.5(3.5托)</v>
          </cell>
          <cell r="D169" t="str">
            <v>02312VWY</v>
          </cell>
          <cell r="E169" t="str">
            <v>硬盘</v>
          </cell>
          <cell r="F169">
            <v>5.4999999999999997E-3</v>
          </cell>
          <cell r="G169">
            <v>1780</v>
          </cell>
          <cell r="I169" t="str">
            <v>99-000750</v>
          </cell>
        </row>
        <row r="170">
          <cell r="B170" t="str">
            <v>302-000041</v>
          </cell>
          <cell r="C170" t="str">
            <v>固态盘-480G-SATA PM883 2.5及托架</v>
          </cell>
          <cell r="D170" t="str">
            <v>02312VWX</v>
          </cell>
          <cell r="E170" t="str">
            <v>硬盘</v>
          </cell>
          <cell r="F170">
            <v>5.4999999999999997E-3</v>
          </cell>
          <cell r="G170">
            <v>813</v>
          </cell>
          <cell r="I170" t="str">
            <v>99-000750</v>
          </cell>
        </row>
        <row r="171">
          <cell r="B171" t="str">
            <v>302-000775</v>
          </cell>
          <cell r="C171" t="str">
            <v>SSD PM883-480G-SATA-6G-2.5读取SX V1.0</v>
          </cell>
          <cell r="D171" t="str">
            <v>MZ7LH480HAHQ-00005</v>
          </cell>
          <cell r="E171" t="str">
            <v>硬盘</v>
          </cell>
          <cell r="F171">
            <v>5.4999999999999997E-3</v>
          </cell>
          <cell r="G171">
            <v>36647</v>
          </cell>
          <cell r="I171" t="str">
            <v>99-000750</v>
          </cell>
        </row>
        <row r="172">
          <cell r="B172" t="str">
            <v>302-000750</v>
          </cell>
          <cell r="C172" t="str">
            <v>SSD-480G-SATA PM883 2.5无托-tky</v>
          </cell>
          <cell r="D172" t="str">
            <v>MZ7LH480HAHQ-00005</v>
          </cell>
          <cell r="E172" t="str">
            <v>硬盘</v>
          </cell>
          <cell r="F172">
            <v>5.4999999999999997E-3</v>
          </cell>
          <cell r="G172">
            <v>14587</v>
          </cell>
          <cell r="I172" t="str">
            <v>99-000750</v>
          </cell>
        </row>
        <row r="173">
          <cell r="B173" t="str">
            <v>302-000312</v>
          </cell>
          <cell r="C173" t="str">
            <v>固态硬盘-480GB-SATA 6Gb/s-2.5 inch</v>
          </cell>
          <cell r="D173" t="str">
            <v>06210193-011</v>
          </cell>
          <cell r="E173" t="str">
            <v>硬盘</v>
          </cell>
          <cell r="F173">
            <v>5.4999999999999997E-3</v>
          </cell>
          <cell r="G173">
            <v>4</v>
          </cell>
          <cell r="I173" t="str">
            <v>99-000750</v>
          </cell>
        </row>
        <row r="174">
          <cell r="B174" t="str">
            <v>302-001784</v>
          </cell>
          <cell r="C174" t="str">
            <v>SSD PM883读取-480GB-SATA 2.5(3.5托)</v>
          </cell>
          <cell r="D174">
            <v>2550265</v>
          </cell>
          <cell r="E174" t="str">
            <v>硬盘</v>
          </cell>
          <cell r="F174">
            <v>5.4999999999999997E-3</v>
          </cell>
          <cell r="G174">
            <v>10</v>
          </cell>
          <cell r="I174" t="str">
            <v>99-000750</v>
          </cell>
        </row>
        <row r="175">
          <cell r="B175" t="str">
            <v>302-001147</v>
          </cell>
          <cell r="C175" t="str">
            <v>SSD 5300Pro-480G-SATA-6G-2.5读取MG V1.0</v>
          </cell>
          <cell r="D175" t="str">
            <v>MTFDDAK480TDS-1AW1</v>
          </cell>
          <cell r="E175" t="str">
            <v>硬盘</v>
          </cell>
          <cell r="F175">
            <v>5.4999999999999997E-3</v>
          </cell>
          <cell r="G175">
            <v>1752</v>
          </cell>
          <cell r="I175" t="str">
            <v>99-000741</v>
          </cell>
        </row>
        <row r="176">
          <cell r="B176" t="str">
            <v>302-000144</v>
          </cell>
          <cell r="C176" t="str">
            <v>2*3.5"后置硬盘背板组件(OEM专用)</v>
          </cell>
          <cell r="D176" t="str">
            <v>02312VXQ</v>
          </cell>
          <cell r="E176" t="str">
            <v>后置硬盘背板</v>
          </cell>
          <cell r="F176">
            <v>2.8999999999999998E-3</v>
          </cell>
          <cell r="G176">
            <v>1628</v>
          </cell>
          <cell r="I176" t="str">
            <v>99-000144</v>
          </cell>
        </row>
        <row r="177">
          <cell r="B177" t="str">
            <v>302-000051</v>
          </cell>
          <cell r="C177" t="str">
            <v>固态盘-480G-SATA SM883 2.5(3.5托)</v>
          </cell>
          <cell r="D177" t="str">
            <v>02312VWW</v>
          </cell>
          <cell r="E177" t="str">
            <v>硬盘</v>
          </cell>
          <cell r="F177">
            <v>5.4999999999999997E-3</v>
          </cell>
          <cell r="G177">
            <v>283</v>
          </cell>
          <cell r="I177" t="str">
            <v>99-002104</v>
          </cell>
        </row>
        <row r="178">
          <cell r="B178" t="str">
            <v>302-000039</v>
          </cell>
          <cell r="C178" t="str">
            <v>固态盘-480G-SATA SM883 2.5及托架</v>
          </cell>
          <cell r="D178" t="str">
            <v>02312VWV</v>
          </cell>
          <cell r="E178" t="str">
            <v>硬盘</v>
          </cell>
          <cell r="F178">
            <v>5.4999999999999997E-3</v>
          </cell>
          <cell r="G178">
            <v>22</v>
          </cell>
          <cell r="I178" t="str">
            <v>99-002104</v>
          </cell>
        </row>
        <row r="179">
          <cell r="B179" t="str">
            <v>302-001017</v>
          </cell>
          <cell r="C179" t="str">
            <v>SSD SM883-480G-SATA-6G-2.5读写SX V1.0</v>
          </cell>
          <cell r="D179" t="str">
            <v>MZ7KH480HAHQ-00005</v>
          </cell>
          <cell r="E179" t="str">
            <v>硬盘</v>
          </cell>
          <cell r="F179">
            <v>5.4999999999999997E-3</v>
          </cell>
          <cell r="G179">
            <v>379</v>
          </cell>
          <cell r="I179" t="str">
            <v>99-002104</v>
          </cell>
        </row>
        <row r="180">
          <cell r="B180" t="str">
            <v>302-001377</v>
          </cell>
          <cell r="C180" t="str">
            <v>SSD SM883读写-480G-SATA 2.5无托</v>
          </cell>
          <cell r="D180" t="str">
            <v>MZ7KH480HAHQ-00005</v>
          </cell>
          <cell r="E180" t="str">
            <v>硬盘</v>
          </cell>
          <cell r="F180">
            <v>5.4999999999999997E-3</v>
          </cell>
          <cell r="G180">
            <v>28</v>
          </cell>
          <cell r="I180" t="str">
            <v>99-002104</v>
          </cell>
        </row>
        <row r="181">
          <cell r="B181" t="str">
            <v>302-001175</v>
          </cell>
          <cell r="C181" t="str">
            <v>SSD SM883-480G-SATA-6G-2.5读写SX V1.0</v>
          </cell>
          <cell r="D181" t="str">
            <v>02312GTW</v>
          </cell>
          <cell r="E181" t="str">
            <v>硬盘</v>
          </cell>
          <cell r="F181">
            <v>5.4999999999999997E-3</v>
          </cell>
          <cell r="G181">
            <v>466</v>
          </cell>
          <cell r="I181" t="str">
            <v>99-002104</v>
          </cell>
        </row>
        <row r="182">
          <cell r="B182" t="str">
            <v>302-000013</v>
          </cell>
          <cell r="C182" t="str">
            <v>机箱 25*2.5硬盘EXP 2U2P,K22R-02</v>
          </cell>
          <cell r="D182" t="str">
            <v>02312WWW</v>
          </cell>
          <cell r="E182" t="str">
            <v>机箱/硬盘背板</v>
          </cell>
          <cell r="F182">
            <v>2.8999999999999998E-3</v>
          </cell>
          <cell r="G182">
            <v>1325</v>
          </cell>
          <cell r="I182" t="str">
            <v>88-000289</v>
          </cell>
        </row>
        <row r="183">
          <cell r="B183" t="str">
            <v>302-000017</v>
          </cell>
          <cell r="C183" t="str">
            <v>机箱 25*2.5硬盘EXP 2U2P,K22R-02 1620S</v>
          </cell>
          <cell r="D183" t="str">
            <v>02312YTE</v>
          </cell>
          <cell r="E183" t="str">
            <v>机箱/硬盘背板</v>
          </cell>
          <cell r="F183">
            <v>2.8999999999999998E-3</v>
          </cell>
          <cell r="G183">
            <v>1741</v>
          </cell>
          <cell r="I183" t="str">
            <v>88-000289</v>
          </cell>
        </row>
        <row r="184">
          <cell r="B184" t="str">
            <v>302-001589</v>
          </cell>
          <cell r="C184" t="str">
            <v>S916服务器25*2.5" 硬盘EXP 2U机箱-无风扇</v>
          </cell>
          <cell r="D184" t="str">
            <v>S916-2U-25*2.5-L5</v>
          </cell>
          <cell r="E184" t="str">
            <v>机箱/硬盘背板</v>
          </cell>
          <cell r="F184">
            <v>2.8999999999999998E-3</v>
          </cell>
          <cell r="G184">
            <v>116</v>
          </cell>
          <cell r="I184" t="str">
            <v>88-000289</v>
          </cell>
        </row>
        <row r="185">
          <cell r="B185" t="str">
            <v>302-001133</v>
          </cell>
          <cell r="C185" t="str">
            <v>2U2P机箱 25*2.5"EXP K22R-02 支持3.0G</v>
          </cell>
          <cell r="D185" t="str">
            <v>02313FJP</v>
          </cell>
          <cell r="E185" t="str">
            <v>机箱/硬盘背板</v>
          </cell>
          <cell r="F185">
            <v>2.8999999999999998E-3</v>
          </cell>
          <cell r="G185">
            <v>238</v>
          </cell>
          <cell r="I185" t="str">
            <v>88-000289</v>
          </cell>
        </row>
        <row r="186">
          <cell r="B186" t="str">
            <v>302-000289</v>
          </cell>
          <cell r="C186" t="str">
            <v>硬盘背板-RH2288H V3-BC11THBHB</v>
          </cell>
          <cell r="D186" t="str">
            <v>03024MSH/06410444</v>
          </cell>
          <cell r="E186" t="str">
            <v>机箱/硬盘背板</v>
          </cell>
          <cell r="F186">
            <v>2.8999999999999998E-3</v>
          </cell>
          <cell r="G186">
            <v>841</v>
          </cell>
          <cell r="I186" t="str">
            <v>88-000289</v>
          </cell>
        </row>
        <row r="187">
          <cell r="B187" t="str">
            <v>302-002125</v>
          </cell>
          <cell r="C187" t="str">
            <v>硬盘背板-BP22H V5-BC11THBHB0-25盘双Raid-EXP</v>
          </cell>
          <cell r="D187" t="str">
            <v>06411173</v>
          </cell>
          <cell r="E187" t="str">
            <v>机箱/硬盘背板</v>
          </cell>
          <cell r="F187">
            <v>2.8999999999999998E-3</v>
          </cell>
          <cell r="G187">
            <v>137</v>
          </cell>
          <cell r="I187" t="str">
            <v>88-000289</v>
          </cell>
        </row>
        <row r="188">
          <cell r="B188" t="str">
            <v>302-001687</v>
          </cell>
          <cell r="C188" t="str">
            <v>机箱 25*2.5硬盘EXP 2U2P-无RAID SAS线1620S</v>
          </cell>
          <cell r="D188" t="str">
            <v>02314CRH</v>
          </cell>
          <cell r="E188" t="str">
            <v>机箱/硬盘背板</v>
          </cell>
          <cell r="F188">
            <v>2.8999999999999998E-3</v>
          </cell>
          <cell r="G188">
            <v>3799</v>
          </cell>
          <cell r="I188" t="str">
            <v>88-000289</v>
          </cell>
        </row>
        <row r="189">
          <cell r="B189" t="str">
            <v>302-001694</v>
          </cell>
          <cell r="C189" t="str">
            <v>机箱 25*2.5硬盘EXP 2U2P-无RAID SAS线</v>
          </cell>
          <cell r="D189" t="str">
            <v>02314CRN</v>
          </cell>
          <cell r="E189" t="str">
            <v>机箱/硬盘背板</v>
          </cell>
          <cell r="F189">
            <v>2.8999999999999998E-3</v>
          </cell>
          <cell r="G189">
            <v>5080</v>
          </cell>
          <cell r="I189" t="str">
            <v>88-000289</v>
          </cell>
        </row>
        <row r="190">
          <cell r="B190" t="str">
            <v>302-001753</v>
          </cell>
          <cell r="C190" t="str">
            <v>服务器25*2.5英寸硬盘EXP机箱-A722</v>
          </cell>
          <cell r="D190" t="str">
            <v>02313NNN</v>
          </cell>
          <cell r="E190" t="str">
            <v>机箱/硬盘背板</v>
          </cell>
          <cell r="F190">
            <v>2.8999999999999998E-3</v>
          </cell>
          <cell r="G190">
            <v>127</v>
          </cell>
          <cell r="I190" t="str">
            <v>88-000289</v>
          </cell>
        </row>
        <row r="191">
          <cell r="B191" t="str">
            <v>302-000063</v>
          </cell>
          <cell r="C191" t="str">
            <v>固态盘-3840G-SATA PM883 2.5及托架</v>
          </cell>
          <cell r="D191">
            <v>2550019</v>
          </cell>
          <cell r="E191" t="str">
            <v>硬盘</v>
          </cell>
          <cell r="F191">
            <v>5.4999999999999997E-3</v>
          </cell>
          <cell r="G191">
            <v>1356</v>
          </cell>
          <cell r="I191" t="str">
            <v>99-000864</v>
          </cell>
        </row>
        <row r="192">
          <cell r="B192" t="str">
            <v>302-000864</v>
          </cell>
          <cell r="C192" t="str">
            <v>固态盘-3840G-SATA PM883 2.5无托</v>
          </cell>
          <cell r="D192" t="str">
            <v>MZ7LH3T8HMLT-00005</v>
          </cell>
          <cell r="E192" t="str">
            <v>硬盘</v>
          </cell>
          <cell r="F192">
            <v>5.4999999999999997E-3</v>
          </cell>
          <cell r="G192">
            <v>28505</v>
          </cell>
          <cell r="I192" t="str">
            <v>99-000864</v>
          </cell>
        </row>
        <row r="193">
          <cell r="B193" t="str">
            <v>302-001006</v>
          </cell>
          <cell r="C193" t="str">
            <v>SSD PM883-3.84T-SATA-6G-2.5读取SX V1.0</v>
          </cell>
          <cell r="D193" t="str">
            <v>MZ7LH3T8HMLT-00005</v>
          </cell>
          <cell r="E193" t="str">
            <v>硬盘</v>
          </cell>
          <cell r="F193">
            <v>5.4999999999999997E-3</v>
          </cell>
          <cell r="G193">
            <v>2163</v>
          </cell>
          <cell r="I193" t="str">
            <v>99-000864</v>
          </cell>
        </row>
        <row r="194">
          <cell r="B194" t="str">
            <v>302-000341</v>
          </cell>
          <cell r="C194" t="str">
            <v>固态盘-3840GB-SATA6G读取PM883 3.5托</v>
          </cell>
          <cell r="D194">
            <v>2550027</v>
          </cell>
          <cell r="E194" t="str">
            <v>硬盘</v>
          </cell>
          <cell r="F194">
            <v>5.4999999999999997E-3</v>
          </cell>
          <cell r="G194">
            <v>24</v>
          </cell>
          <cell r="I194" t="str">
            <v>99-000864</v>
          </cell>
        </row>
        <row r="195">
          <cell r="B195" t="str">
            <v>302-001067</v>
          </cell>
          <cell r="C195" t="str">
            <v>S内存DDR4-32G-2933-2Rx4-RD MG V1.0</v>
          </cell>
          <cell r="D195" t="str">
            <v>MTA36ASF4G72PZ-2G9</v>
          </cell>
          <cell r="E195" t="str">
            <v>内存</v>
          </cell>
          <cell r="F195">
            <v>2E-3</v>
          </cell>
          <cell r="G195">
            <v>19655</v>
          </cell>
          <cell r="I195" t="str">
            <v>99-001067</v>
          </cell>
        </row>
        <row r="196">
          <cell r="B196" t="str">
            <v>302-000958</v>
          </cell>
          <cell r="C196" t="str">
            <v>S内存DDR4-32G-2933-2Rx4-RD MG V1.1</v>
          </cell>
          <cell r="D196" t="str">
            <v>MTA36ASF4G72PZ-2G9</v>
          </cell>
          <cell r="E196" t="str">
            <v>内存</v>
          </cell>
          <cell r="F196">
            <v>2E-3</v>
          </cell>
          <cell r="G196">
            <v>4947</v>
          </cell>
          <cell r="I196" t="str">
            <v>99-001067</v>
          </cell>
        </row>
        <row r="197">
          <cell r="B197" t="str">
            <v>302-000544</v>
          </cell>
          <cell r="C197" t="str">
            <v>S内存DDR4-32G-2933-2Rank(2G*4bit) MG</v>
          </cell>
          <cell r="D197" t="str">
            <v>02312VWJ</v>
          </cell>
          <cell r="E197" t="str">
            <v>内存</v>
          </cell>
          <cell r="F197">
            <v>2E-3</v>
          </cell>
          <cell r="G197">
            <v>234</v>
          </cell>
          <cell r="I197" t="str">
            <v>99-001067</v>
          </cell>
        </row>
        <row r="198">
          <cell r="B198" t="str">
            <v>302-001645</v>
          </cell>
          <cell r="C198" t="str">
            <v>S内存DDR4-32GB-2933-2Rank(2G*4bit) MG</v>
          </cell>
          <cell r="D198" t="str">
            <v>MTA36ASF4G72PZ-2G9E2</v>
          </cell>
          <cell r="E198" t="str">
            <v>内存</v>
          </cell>
          <cell r="F198">
            <v>2E-3</v>
          </cell>
          <cell r="G198">
            <v>604</v>
          </cell>
          <cell r="I198" t="str">
            <v>99-001067</v>
          </cell>
        </row>
        <row r="199">
          <cell r="B199" t="str">
            <v>302-001653</v>
          </cell>
          <cell r="C199" t="str">
            <v>S内存DDR4-32G-2933-2Rank(2G*4bit) MG</v>
          </cell>
          <cell r="D199">
            <v>6200303</v>
          </cell>
          <cell r="E199" t="str">
            <v>内存</v>
          </cell>
          <cell r="F199">
            <v>2E-3</v>
          </cell>
          <cell r="G199">
            <v>0</v>
          </cell>
          <cell r="I199" t="str">
            <v>99-001067</v>
          </cell>
        </row>
        <row r="200">
          <cell r="B200" t="str">
            <v>302-001288</v>
          </cell>
          <cell r="C200" t="str">
            <v>S内存DDR4-32G-2933-2Rank(2G*4bit)</v>
          </cell>
          <cell r="D200">
            <v>6200288</v>
          </cell>
          <cell r="E200" t="str">
            <v>内存</v>
          </cell>
          <cell r="F200">
            <v>2E-3</v>
          </cell>
          <cell r="G200">
            <v>42</v>
          </cell>
          <cell r="I200" t="str">
            <v>99-001067</v>
          </cell>
        </row>
        <row r="201">
          <cell r="B201" t="str">
            <v>302-000376</v>
          </cell>
          <cell r="C201" t="str">
            <v>S内存DDR4-16G-2933-1Rx4-RD ZG V1.0</v>
          </cell>
          <cell r="D201" t="str">
            <v>SCQ16GP02H1F1C-29Y</v>
          </cell>
          <cell r="E201" t="str">
            <v>内存</v>
          </cell>
          <cell r="F201">
            <v>2E-3</v>
          </cell>
          <cell r="G201">
            <v>1843</v>
          </cell>
        </row>
        <row r="202">
          <cell r="B202" t="str">
            <v>302-000168</v>
          </cell>
          <cell r="C202" t="str">
            <v>FC HBA卡16G双口Hi1822 HHFH+2光模块</v>
          </cell>
          <cell r="D202" t="str">
            <v>02312SEF</v>
          </cell>
          <cell r="E202" t="str">
            <v>HBA卡</v>
          </cell>
          <cell r="F202">
            <v>6.1999999999999998E-3</v>
          </cell>
          <cell r="G202">
            <v>303</v>
          </cell>
          <cell r="I202" t="str">
            <v>99-000171</v>
          </cell>
        </row>
        <row r="203">
          <cell r="B203" t="str">
            <v>302-000171</v>
          </cell>
          <cell r="C203" t="str">
            <v>FC HBA卡16G双口2光模块Hi1822 FH</v>
          </cell>
          <cell r="D203" t="str">
            <v>02312CCY</v>
          </cell>
          <cell r="E203" t="str">
            <v>HBA卡</v>
          </cell>
          <cell r="F203">
            <v>6.1999999999999998E-3</v>
          </cell>
          <cell r="G203">
            <v>319</v>
          </cell>
          <cell r="I203" t="str">
            <v>99-000171</v>
          </cell>
        </row>
        <row r="204">
          <cell r="B204" t="str">
            <v>302-000150</v>
          </cell>
          <cell r="C204" t="str">
            <v>Riser3模组 16X(X16)</v>
          </cell>
          <cell r="D204" t="str">
            <v>02312VXX</v>
          </cell>
          <cell r="E204" t="str">
            <v>Riser模组</v>
          </cell>
          <cell r="F204">
            <v>5.0000000000000001E-3</v>
          </cell>
          <cell r="G204">
            <v>693</v>
          </cell>
          <cell r="I204" t="str">
            <v>99-000150</v>
          </cell>
        </row>
        <row r="205">
          <cell r="B205" t="str">
            <v>302-000151</v>
          </cell>
          <cell r="C205" t="str">
            <v>Riser1&amp;2模组 2*2.5"后背板+1*16X(X8)</v>
          </cell>
          <cell r="D205" t="str">
            <v>02312VXY</v>
          </cell>
          <cell r="E205" t="str">
            <v>Riser模组</v>
          </cell>
          <cell r="F205">
            <v>5.0000000000000001E-3</v>
          </cell>
          <cell r="G205">
            <v>30331</v>
          </cell>
          <cell r="I205" t="str">
            <v>99-000151</v>
          </cell>
        </row>
        <row r="206">
          <cell r="B206" t="str">
            <v>302-000375</v>
          </cell>
          <cell r="C206" t="str">
            <v>S内存DDR4-32G-2933-2Rx4-RD ZG V1.0</v>
          </cell>
          <cell r="D206" t="str">
            <v>SCQ32GP12H1F1C-29Y</v>
          </cell>
          <cell r="E206" t="str">
            <v>内存</v>
          </cell>
          <cell r="F206">
            <v>2E-3</v>
          </cell>
          <cell r="G206">
            <v>2152</v>
          </cell>
          <cell r="I206" t="str">
            <v>99-000375</v>
          </cell>
        </row>
        <row r="207">
          <cell r="B207" t="str">
            <v>302-000333</v>
          </cell>
          <cell r="C207" t="str">
            <v>RAID扣卡 SR450C-M 2G(Avago3508) 4U散件</v>
          </cell>
          <cell r="D207" t="str">
            <v>02312YKS</v>
          </cell>
          <cell r="E207" t="str">
            <v>RAID卡</v>
          </cell>
          <cell r="F207">
            <v>7.7999999999999996E-3</v>
          </cell>
          <cell r="G207">
            <v>33</v>
          </cell>
          <cell r="I207" t="str">
            <v>99-000333</v>
          </cell>
        </row>
        <row r="208">
          <cell r="B208" t="str">
            <v>302-000329</v>
          </cell>
          <cell r="C208" t="str">
            <v>RAID扣卡 SR450C-M 2G(Avago3508) 4U</v>
          </cell>
          <cell r="D208" t="str">
            <v>02312QXY</v>
          </cell>
          <cell r="E208" t="str">
            <v>RAID卡</v>
          </cell>
          <cell r="F208">
            <v>7.7999999999999996E-3</v>
          </cell>
          <cell r="G208">
            <v>5</v>
          </cell>
          <cell r="I208" t="str">
            <v>99-000333</v>
          </cell>
        </row>
        <row r="209">
          <cell r="B209" t="str">
            <v>302-000506</v>
          </cell>
          <cell r="C209" t="str">
            <v>S主板 S920S00-3210 2*920,24C</v>
          </cell>
          <cell r="D209" t="str">
            <v>03050BUG</v>
          </cell>
          <cell r="E209" t="str">
            <v>主板</v>
          </cell>
          <cell r="F209">
            <v>8.5000000000000006E-3</v>
          </cell>
          <cell r="G209">
            <v>12</v>
          </cell>
          <cell r="I209" t="str">
            <v>99-000707</v>
          </cell>
        </row>
        <row r="210">
          <cell r="B210" t="str">
            <v>302-000007</v>
          </cell>
          <cell r="C210" t="str">
            <v>S主板S920S00-3210 2*920,24C-1710</v>
          </cell>
          <cell r="D210" t="str">
            <v>03028DYE</v>
          </cell>
          <cell r="E210" t="str">
            <v>主板</v>
          </cell>
          <cell r="F210">
            <v>8.5000000000000006E-3</v>
          </cell>
          <cell r="G210">
            <v>13</v>
          </cell>
          <cell r="I210" t="str">
            <v>99-000707</v>
          </cell>
        </row>
        <row r="211">
          <cell r="B211" t="str">
            <v>302-000707</v>
          </cell>
          <cell r="C211" t="str">
            <v>#S主板S920S00-2*3210(24C@2.6)-AF-VD-1711</v>
          </cell>
          <cell r="D211" t="str">
            <v>03050CSY</v>
          </cell>
          <cell r="E211" t="str">
            <v>主板</v>
          </cell>
          <cell r="F211">
            <v>8.5000000000000006E-3</v>
          </cell>
          <cell r="G211">
            <v>130</v>
          </cell>
          <cell r="I211" t="str">
            <v>99-000707</v>
          </cell>
        </row>
        <row r="212">
          <cell r="B212" t="str">
            <v>302-002576</v>
          </cell>
          <cell r="C212" t="str">
            <v>S主板 S920S00-2*3210(24C@2.6G)-AI-1711-VE</v>
          </cell>
          <cell r="D212" t="str">
            <v>03050EMS</v>
          </cell>
          <cell r="E212" t="str">
            <v>主板</v>
          </cell>
          <cell r="F212">
            <v>8.5000000000000006E-3</v>
          </cell>
          <cell r="G212">
            <v>51</v>
          </cell>
          <cell r="I212" t="str">
            <v>99-000707</v>
          </cell>
        </row>
        <row r="213">
          <cell r="B213" t="str">
            <v>302-000035</v>
          </cell>
          <cell r="C213" t="str">
            <v>固态盘-240G-SATA 6Gb/s-2.5及托架</v>
          </cell>
          <cell r="D213">
            <v>2550013</v>
          </cell>
          <cell r="E213" t="str">
            <v>硬盘</v>
          </cell>
          <cell r="F213">
            <v>5.4999999999999997E-3</v>
          </cell>
          <cell r="G213">
            <v>61</v>
          </cell>
          <cell r="I213" t="str">
            <v>99-000035</v>
          </cell>
        </row>
        <row r="214">
          <cell r="B214" t="str">
            <v>302-000037</v>
          </cell>
          <cell r="C214" t="str">
            <v>固态盘-240G-SATA 6Gb/s-2.5及3.5托</v>
          </cell>
          <cell r="D214">
            <v>2550014</v>
          </cell>
          <cell r="E214" t="str">
            <v>硬盘</v>
          </cell>
          <cell r="F214">
            <v>5.4999999999999997E-3</v>
          </cell>
          <cell r="G214">
            <v>123</v>
          </cell>
          <cell r="I214" t="str">
            <v>99-000035</v>
          </cell>
        </row>
        <row r="215">
          <cell r="B215" t="str">
            <v>302-001018</v>
          </cell>
          <cell r="C215" t="str">
            <v>SSD PM883-240G-SATA-6G-2.5读取SX V1.0</v>
          </cell>
          <cell r="D215" t="str">
            <v>MZ7LH240HAHQ-00005</v>
          </cell>
          <cell r="E215" t="str">
            <v>硬盘</v>
          </cell>
          <cell r="F215">
            <v>5.4999999999999997E-3</v>
          </cell>
          <cell r="G215">
            <v>530</v>
          </cell>
        </row>
        <row r="216">
          <cell r="B216" t="str">
            <v>302-001022</v>
          </cell>
          <cell r="C216" t="str">
            <v>SSD DSS200-B-240G-SATA-6G-2.5读取DT V1.0</v>
          </cell>
          <cell r="D216" t="str">
            <v>F240GSBLI4C5C12A02</v>
          </cell>
          <cell r="E216" t="str">
            <v>硬盘</v>
          </cell>
          <cell r="F216">
            <v>5.4999999999999997E-3</v>
          </cell>
          <cell r="G216">
            <v>647</v>
          </cell>
        </row>
        <row r="217">
          <cell r="B217" t="str">
            <v>302-000987</v>
          </cell>
          <cell r="C217" t="str">
            <v>S内存DDR4-32G-3200-2Rx8-RD ZG V1.0</v>
          </cell>
          <cell r="D217" t="str">
            <v>SCC32GP13H2F1C-32A</v>
          </cell>
          <cell r="E217" t="str">
            <v>内存</v>
          </cell>
          <cell r="F217">
            <v>2E-3</v>
          </cell>
          <cell r="G217">
            <v>12217</v>
          </cell>
        </row>
        <row r="218">
          <cell r="B218" t="str">
            <v>302-000618</v>
          </cell>
          <cell r="C218" t="str">
            <v>硬盘1800G-SAS 12Gb/s-10K-2.5及3.5托 DZ</v>
          </cell>
          <cell r="D218" t="str">
            <v>02312VWQ</v>
          </cell>
          <cell r="E218" t="str">
            <v>硬盘</v>
          </cell>
          <cell r="F218">
            <v>5.4999999999999997E-3</v>
          </cell>
          <cell r="G218">
            <v>0</v>
          </cell>
          <cell r="I218" t="str">
            <v>99-001039</v>
          </cell>
        </row>
        <row r="219">
          <cell r="B219" t="str">
            <v>302-000611</v>
          </cell>
          <cell r="C219" t="str">
            <v>S硬盘1.8T-2.5SAS-12G10K-128M-DZ V1.1</v>
          </cell>
          <cell r="D219" t="str">
            <v>02312VWR</v>
          </cell>
          <cell r="E219" t="str">
            <v>硬盘</v>
          </cell>
          <cell r="F219">
            <v>5.4999999999999997E-3</v>
          </cell>
          <cell r="G219">
            <v>1408</v>
          </cell>
          <cell r="I219" t="str">
            <v>99-001039</v>
          </cell>
        </row>
        <row r="220">
          <cell r="B220" t="str">
            <v>302-001039</v>
          </cell>
          <cell r="C220" t="str">
            <v>S硬盘1.8T-2.5SAS-12G10K-128M-DZ V1.0</v>
          </cell>
          <cell r="D220" t="str">
            <v>AL15SEB18EQ</v>
          </cell>
          <cell r="E220" t="str">
            <v>硬盘</v>
          </cell>
          <cell r="F220">
            <v>5.4999999999999997E-3</v>
          </cell>
          <cell r="G220">
            <v>6689</v>
          </cell>
          <cell r="I220" t="str">
            <v>99-001039</v>
          </cell>
        </row>
        <row r="221">
          <cell r="B221" t="str">
            <v>302-000619</v>
          </cell>
          <cell r="C221" t="str">
            <v>S硬盘1.8T-2.5SAS-12G10K-256M-XJ V1.1</v>
          </cell>
          <cell r="D221" t="str">
            <v>02312VWQ</v>
          </cell>
          <cell r="E221" t="str">
            <v>硬盘</v>
          </cell>
          <cell r="F221">
            <v>5.4999999999999997E-3</v>
          </cell>
          <cell r="G221">
            <v>15814</v>
          </cell>
          <cell r="I221" t="str">
            <v>99-001039</v>
          </cell>
        </row>
        <row r="222">
          <cell r="B222" t="str">
            <v>302-000612</v>
          </cell>
          <cell r="C222" t="str">
            <v>硬盘1800G-SAS 12Gb/s-10K 2.5及托 XJ</v>
          </cell>
          <cell r="D222" t="str">
            <v>02312VWR</v>
          </cell>
          <cell r="E222" t="str">
            <v>硬盘</v>
          </cell>
          <cell r="F222">
            <v>5.4999999999999997E-3</v>
          </cell>
          <cell r="G222">
            <v>9841</v>
          </cell>
          <cell r="I222" t="str">
            <v>99-001039</v>
          </cell>
        </row>
        <row r="223">
          <cell r="B223" t="str">
            <v>302-000609</v>
          </cell>
          <cell r="C223" t="str">
            <v>硬盘1800G-SAS 12Gb/s-10K-2.5及托 备 XJ</v>
          </cell>
          <cell r="D223" t="str">
            <v>02312VWR=</v>
          </cell>
          <cell r="E223" t="str">
            <v>硬盘</v>
          </cell>
          <cell r="F223">
            <v>5.4999999999999997E-3</v>
          </cell>
          <cell r="G223">
            <v>352</v>
          </cell>
          <cell r="I223" t="str">
            <v>99-001039</v>
          </cell>
        </row>
        <row r="224">
          <cell r="B224" t="str">
            <v>302-001055</v>
          </cell>
          <cell r="C224" t="str">
            <v>S硬盘1.8T-2.5SAS-12G10K-256M-XJ V1.0</v>
          </cell>
          <cell r="D224" t="str">
            <v>ST1800MM0129</v>
          </cell>
          <cell r="E224" t="str">
            <v>硬盘</v>
          </cell>
          <cell r="F224">
            <v>5.4999999999999997E-3</v>
          </cell>
          <cell r="G224">
            <v>1515</v>
          </cell>
          <cell r="I224" t="str">
            <v>99-001039</v>
          </cell>
        </row>
        <row r="225">
          <cell r="B225" t="str">
            <v>302-000149</v>
          </cell>
          <cell r="C225" t="str">
            <v>Riser3模组 2*16X(X8)</v>
          </cell>
          <cell r="D225" t="str">
            <v>02312VXW</v>
          </cell>
          <cell r="E225" t="str">
            <v>Riser模组</v>
          </cell>
          <cell r="F225">
            <v>5.0000000000000001E-3</v>
          </cell>
          <cell r="G225">
            <v>19005</v>
          </cell>
          <cell r="I225" t="str">
            <v>99-000149</v>
          </cell>
        </row>
        <row r="226">
          <cell r="B226" t="str">
            <v>302-000379</v>
          </cell>
          <cell r="C226" t="str">
            <v>SSD Memblaze D910读取3.84TB NVMe 2.5无托</v>
          </cell>
          <cell r="D226" t="str">
            <v>P5910DT0384M00</v>
          </cell>
          <cell r="E226" t="str">
            <v>硬盘</v>
          </cell>
          <cell r="F226">
            <v>5.4999999999999997E-3</v>
          </cell>
          <cell r="G226">
            <v>24</v>
          </cell>
          <cell r="I226" t="str">
            <v>99-000379</v>
          </cell>
        </row>
        <row r="227">
          <cell r="B227" t="str">
            <v>302-000400</v>
          </cell>
          <cell r="C227" t="str">
            <v>SSD Memblaze D920读取3.84TB NVMe 2.5无托</v>
          </cell>
          <cell r="D227" t="str">
            <v>P5920DT0384M00</v>
          </cell>
          <cell r="E227" t="str">
            <v>硬盘</v>
          </cell>
          <cell r="F227">
            <v>5.4999999999999997E-3</v>
          </cell>
          <cell r="G227">
            <v>0</v>
          </cell>
          <cell r="I227" t="str">
            <v>99-000379</v>
          </cell>
        </row>
        <row r="228">
          <cell r="B228" t="str">
            <v>302-000091</v>
          </cell>
          <cell r="C228" t="str">
            <v>SSD ES3610PV5-1.6T-NVMe3.0-2.5读写HW V1.0</v>
          </cell>
          <cell r="D228">
            <v>2550006</v>
          </cell>
          <cell r="E228" t="str">
            <v>硬盘</v>
          </cell>
          <cell r="F228">
            <v>5.4999999999999997E-3</v>
          </cell>
          <cell r="G228">
            <v>21</v>
          </cell>
        </row>
        <row r="229">
          <cell r="B229" t="str">
            <v>302-001102</v>
          </cell>
          <cell r="C229" t="str">
            <v>FC HBA卡-16Gb-LPe31000-单口-SFP+1光模块</v>
          </cell>
          <cell r="D229" t="str">
            <v>LPE31000</v>
          </cell>
          <cell r="E229" t="str">
            <v>HBA卡</v>
          </cell>
          <cell r="F229">
            <v>6.1999999999999998E-3</v>
          </cell>
          <cell r="G229">
            <v>326</v>
          </cell>
          <cell r="I229" t="str">
            <v>99-001102</v>
          </cell>
        </row>
        <row r="230">
          <cell r="B230" t="str">
            <v>302-000660</v>
          </cell>
          <cell r="C230" t="str">
            <v>FC HBA卡-16Gb-LPe31000-单口-SFP+1光模块</v>
          </cell>
          <cell r="D230">
            <v>6030462</v>
          </cell>
          <cell r="E230" t="str">
            <v>HBA卡</v>
          </cell>
          <cell r="F230">
            <v>6.1999999999999998E-3</v>
          </cell>
          <cell r="G230">
            <v>51</v>
          </cell>
          <cell r="I230" t="str">
            <v>99-001102</v>
          </cell>
        </row>
        <row r="231">
          <cell r="B231" t="str">
            <v>302-000442</v>
          </cell>
          <cell r="C231" t="str">
            <v>Emulex-FC卡-16G-单口-1光模块-全高拉手条</v>
          </cell>
          <cell r="D231" t="str">
            <v>FC卡</v>
          </cell>
          <cell r="E231" t="str">
            <v>HBA卡</v>
          </cell>
          <cell r="F231">
            <v>6.1999999999999998E-3</v>
          </cell>
          <cell r="G231">
            <v>2</v>
          </cell>
          <cell r="I231" t="str">
            <v>99-001102</v>
          </cell>
        </row>
        <row r="232">
          <cell r="B232" t="str">
            <v>302-000659</v>
          </cell>
          <cell r="C232" t="str">
            <v>FC HBA卡-16Gb-LPe31002-双口-SFP+2光模块</v>
          </cell>
          <cell r="D232">
            <v>6030463</v>
          </cell>
          <cell r="E232" t="str">
            <v>HBA卡</v>
          </cell>
          <cell r="F232">
            <v>6.1999999999999998E-3</v>
          </cell>
          <cell r="G232">
            <v>101</v>
          </cell>
          <cell r="I232" t="str">
            <v>99-001019</v>
          </cell>
        </row>
        <row r="233">
          <cell r="B233" t="str">
            <v>302-001019</v>
          </cell>
          <cell r="C233" t="str">
            <v>FC HBA卡-16Gb-LPe31002-双口-SFP+2光模块</v>
          </cell>
          <cell r="D233" t="str">
            <v>LPE31002</v>
          </cell>
          <cell r="E233" t="str">
            <v>HBA卡</v>
          </cell>
          <cell r="F233">
            <v>6.1999999999999998E-3</v>
          </cell>
          <cell r="G233">
            <v>549</v>
          </cell>
          <cell r="I233" t="str">
            <v>99-001019</v>
          </cell>
        </row>
        <row r="234">
          <cell r="B234" t="str">
            <v>302-001195</v>
          </cell>
          <cell r="C234" t="str">
            <v>FC HBA卡-16Gb-LPe31002-双口-SFP+2光模块</v>
          </cell>
          <cell r="D234" t="str">
            <v>LPE31002-AP</v>
          </cell>
          <cell r="E234" t="str">
            <v>HBA卡</v>
          </cell>
          <cell r="F234">
            <v>6.1999999999999998E-3</v>
          </cell>
          <cell r="G234">
            <v>444</v>
          </cell>
          <cell r="I234" t="str">
            <v>99-001019</v>
          </cell>
        </row>
        <row r="235">
          <cell r="B235" t="str">
            <v>302-001153</v>
          </cell>
          <cell r="C235" t="str">
            <v>FC HBA卡-16Gb-LPe31002-双口-SFP+2光模块</v>
          </cell>
          <cell r="D235" t="str">
            <v>LPE31002-AP</v>
          </cell>
          <cell r="E235" t="str">
            <v>HBA卡</v>
          </cell>
          <cell r="F235">
            <v>6.1999999999999998E-3</v>
          </cell>
          <cell r="G235">
            <v>3271</v>
          </cell>
          <cell r="I235" t="str">
            <v>99-001019</v>
          </cell>
        </row>
        <row r="236">
          <cell r="B236" t="str">
            <v>302-001010</v>
          </cell>
          <cell r="C236" t="str">
            <v>FC HBA卡 16Gb-QLE2692-双口</v>
          </cell>
          <cell r="D236" t="str">
            <v>QLE2692</v>
          </cell>
          <cell r="E236" t="str">
            <v>HBA卡</v>
          </cell>
          <cell r="F236">
            <v>6.1999999999999998E-3</v>
          </cell>
          <cell r="G236">
            <v>50</v>
          </cell>
        </row>
        <row r="237">
          <cell r="B237" t="str">
            <v>302-000413</v>
          </cell>
          <cell r="C237" t="str">
            <v>S主板 S920X02-5250-AD 4*（920,48C）-1711</v>
          </cell>
          <cell r="D237" t="str">
            <v>03050BTW</v>
          </cell>
          <cell r="E237" t="str">
            <v>主板</v>
          </cell>
          <cell r="F237">
            <v>8.5000000000000006E-3</v>
          </cell>
          <cell r="G237">
            <v>72</v>
          </cell>
          <cell r="I237" t="str">
            <v>99-000413</v>
          </cell>
        </row>
        <row r="238">
          <cell r="B238" t="str">
            <v>302-001345</v>
          </cell>
          <cell r="C238" t="str">
            <v>S主板 S920X02-5250-AF 4*(920,48C)1711-3A</v>
          </cell>
          <cell r="D238" t="str">
            <v>03050FNE</v>
          </cell>
          <cell r="E238" t="str">
            <v>主板</v>
          </cell>
          <cell r="F238">
            <v>8.5000000000000006E-3</v>
          </cell>
          <cell r="G238">
            <v>3366</v>
          </cell>
          <cell r="I238" t="str">
            <v>99-000413</v>
          </cell>
        </row>
        <row r="239">
          <cell r="B239" t="str">
            <v>302-000419</v>
          </cell>
          <cell r="C239" t="str">
            <v>RAID标卡Avago3408 无Cache-X8-全高半长</v>
          </cell>
          <cell r="D239">
            <v>2560017</v>
          </cell>
          <cell r="E239" t="str">
            <v>RAID卡</v>
          </cell>
          <cell r="F239">
            <v>7.7999999999999996E-3</v>
          </cell>
          <cell r="G239">
            <v>28</v>
          </cell>
          <cell r="I239" t="str">
            <v>99-000419</v>
          </cell>
        </row>
        <row r="240">
          <cell r="B240" t="str">
            <v>302-000545</v>
          </cell>
          <cell r="C240" t="str">
            <v>S内存DDR4-32G-2933-2Rank(2G*4bit) SX</v>
          </cell>
          <cell r="D240" t="str">
            <v>02312VWJ</v>
          </cell>
          <cell r="E240" t="str">
            <v>内存</v>
          </cell>
          <cell r="F240">
            <v>2E-3</v>
          </cell>
          <cell r="G240">
            <v>14976</v>
          </cell>
          <cell r="I240" t="str">
            <v>99-000896</v>
          </cell>
        </row>
        <row r="241">
          <cell r="B241" t="str">
            <v>302-000896</v>
          </cell>
          <cell r="C241" t="str">
            <v>S内存DDR4-32G-2933-2Rx4-RD SX V1.0</v>
          </cell>
          <cell r="D241" t="str">
            <v>M393A4K40DB2-CVF</v>
          </cell>
          <cell r="E241" t="str">
            <v>内存</v>
          </cell>
          <cell r="F241">
            <v>2E-3</v>
          </cell>
          <cell r="G241">
            <v>29234</v>
          </cell>
          <cell r="I241" t="str">
            <v>99-000896</v>
          </cell>
        </row>
        <row r="242">
          <cell r="B242" t="str">
            <v>302-001113</v>
          </cell>
          <cell r="C242" t="str">
            <v>S内存DDR4-32G-2933-2Rx4-RD-Y SX V1.0</v>
          </cell>
          <cell r="D242" t="str">
            <v>M393A4K40CB2-CVFBY</v>
          </cell>
          <cell r="E242" t="str">
            <v>内存</v>
          </cell>
          <cell r="F242">
            <v>2E-3</v>
          </cell>
          <cell r="G242">
            <v>88573</v>
          </cell>
          <cell r="I242" t="str">
            <v>99-000896</v>
          </cell>
        </row>
        <row r="243">
          <cell r="B243" t="str">
            <v>302-001169</v>
          </cell>
          <cell r="C243" t="str">
            <v>S内存DDR4-32GB-2933-2Rank(2G*4bit) SX</v>
          </cell>
          <cell r="D243" t="str">
            <v>M393A4K40CB2-CVFCO</v>
          </cell>
          <cell r="E243" t="str">
            <v>内存</v>
          </cell>
          <cell r="F243">
            <v>2E-3</v>
          </cell>
          <cell r="G243">
            <v>10785</v>
          </cell>
          <cell r="I243" t="str">
            <v>99-000896</v>
          </cell>
        </row>
        <row r="244">
          <cell r="B244" t="str">
            <v>302-001629</v>
          </cell>
          <cell r="C244" t="str">
            <v>S内存DDR4-32G-2933-2Rank(2G*4bit) SX</v>
          </cell>
          <cell r="D244">
            <v>6200288</v>
          </cell>
          <cell r="E244" t="str">
            <v>内存</v>
          </cell>
          <cell r="F244">
            <v>2E-3</v>
          </cell>
          <cell r="G244">
            <v>15679</v>
          </cell>
          <cell r="I244" t="str">
            <v>99-000896</v>
          </cell>
        </row>
        <row r="245">
          <cell r="B245" t="str">
            <v>302-001713</v>
          </cell>
          <cell r="C245" t="str">
            <v>S内存DDR4-32G-2933-2Rank(2G*4bit) SX</v>
          </cell>
          <cell r="D245">
            <v>2510055</v>
          </cell>
          <cell r="E245" t="str">
            <v>内存</v>
          </cell>
          <cell r="F245">
            <v>2E-3</v>
          </cell>
          <cell r="G245">
            <v>4555</v>
          </cell>
          <cell r="I245" t="str">
            <v>99-000896</v>
          </cell>
        </row>
        <row r="246">
          <cell r="B246" t="str">
            <v>302-001631</v>
          </cell>
          <cell r="C246" t="str">
            <v>S内存DDR4-32G-2933-2Rx4-RD SX V1.1</v>
          </cell>
          <cell r="D246">
            <v>2510033</v>
          </cell>
          <cell r="E246" t="str">
            <v>内存</v>
          </cell>
          <cell r="F246">
            <v>2E-3</v>
          </cell>
          <cell r="G246">
            <v>620</v>
          </cell>
          <cell r="I246" t="str">
            <v>99-000896</v>
          </cell>
        </row>
        <row r="247">
          <cell r="B247" t="str">
            <v>302-001571</v>
          </cell>
          <cell r="C247" t="str">
            <v>S内存DDR4-32G-2933-2Rank(2G*4bit)</v>
          </cell>
          <cell r="D247">
            <v>2510033</v>
          </cell>
          <cell r="E247" t="str">
            <v>内存</v>
          </cell>
          <cell r="F247">
            <v>2E-3</v>
          </cell>
          <cell r="G247">
            <v>8338</v>
          </cell>
          <cell r="I247" t="str">
            <v>99-000896</v>
          </cell>
        </row>
        <row r="248">
          <cell r="B248" t="str">
            <v>302-001177</v>
          </cell>
          <cell r="C248" t="str">
            <v>S内存DDR4-32G-2933-2Rank(2G*4bit) SX</v>
          </cell>
          <cell r="D248" t="str">
            <v>M393A4K40DB2-CVF</v>
          </cell>
          <cell r="E248" t="str">
            <v>内存</v>
          </cell>
          <cell r="F248">
            <v>2E-3</v>
          </cell>
          <cell r="G248">
            <v>4751</v>
          </cell>
          <cell r="I248" t="str">
            <v>99-000896</v>
          </cell>
        </row>
        <row r="249">
          <cell r="B249" t="str">
            <v>302-000735</v>
          </cell>
          <cell r="C249" t="str">
            <v>HBA卡 8G FC LPE12002-M8 2端口，包含两个光模块</v>
          </cell>
          <cell r="D249" t="str">
            <v>LPE12002</v>
          </cell>
          <cell r="E249" t="str">
            <v>HBA卡</v>
          </cell>
          <cell r="F249">
            <v>6.1999999999999998E-3</v>
          </cell>
          <cell r="G249">
            <v>386</v>
          </cell>
        </row>
        <row r="250">
          <cell r="B250" t="str">
            <v>302-000543</v>
          </cell>
          <cell r="C250" t="str">
            <v>S内存DDR4-32G-2933-2Rx4-RD HLS V1.2</v>
          </cell>
          <cell r="D250" t="str">
            <v>02312VWJ</v>
          </cell>
          <cell r="E250" t="str">
            <v>内存</v>
          </cell>
          <cell r="F250">
            <v>2E-3</v>
          </cell>
          <cell r="G250">
            <v>2988</v>
          </cell>
          <cell r="I250" t="str">
            <v>99-000793</v>
          </cell>
        </row>
        <row r="251">
          <cell r="B251" t="str">
            <v>302-000793</v>
          </cell>
          <cell r="C251" t="str">
            <v>S内存DDR4-32G-2933-2Rx4-RD HLS V1.0</v>
          </cell>
          <cell r="D251" t="str">
            <v>HMA84GR7CJR4N-WM</v>
          </cell>
          <cell r="E251" t="str">
            <v>内存</v>
          </cell>
          <cell r="F251">
            <v>2E-3</v>
          </cell>
          <cell r="G251">
            <v>1734</v>
          </cell>
          <cell r="I251" t="str">
            <v>99-000793</v>
          </cell>
        </row>
        <row r="252">
          <cell r="B252" t="str">
            <v>302-001632</v>
          </cell>
          <cell r="C252" t="str">
            <v>S内存DDR4-32G-2933-2Rank(2G*4bit) HLS</v>
          </cell>
          <cell r="D252">
            <v>2510033</v>
          </cell>
          <cell r="E252" t="str">
            <v>内存</v>
          </cell>
          <cell r="F252">
            <v>2E-3</v>
          </cell>
          <cell r="G252">
            <v>72</v>
          </cell>
          <cell r="I252" t="str">
            <v>99-000793</v>
          </cell>
        </row>
        <row r="253">
          <cell r="B253" t="str">
            <v>302-001715</v>
          </cell>
          <cell r="C253" t="str">
            <v>S内存DDR4-32G-2933-2Rx4-RD HLS V1.1</v>
          </cell>
          <cell r="D253">
            <v>2510055</v>
          </cell>
          <cell r="E253" t="str">
            <v>内存</v>
          </cell>
          <cell r="F253">
            <v>2E-3</v>
          </cell>
          <cell r="G253">
            <v>26122</v>
          </cell>
          <cell r="I253" t="str">
            <v>99-000793</v>
          </cell>
        </row>
        <row r="254">
          <cell r="B254" t="str">
            <v>302-000984</v>
          </cell>
          <cell r="C254" t="str">
            <v>电源电缆-2.0m-(227IEC53(RVV)1.0mm^2黄色</v>
          </cell>
          <cell r="D254" t="str">
            <v>PD-033+PD-032 黄</v>
          </cell>
          <cell r="E254" t="str">
            <v>电源线</v>
          </cell>
          <cell r="F254">
            <v>2E-3</v>
          </cell>
          <cell r="G254">
            <v>1744</v>
          </cell>
        </row>
        <row r="255">
          <cell r="B255" t="str">
            <v>302-000778</v>
          </cell>
          <cell r="C255" t="str">
            <v>光驱 eBAU108 USB +/-RW 建兴</v>
          </cell>
          <cell r="D255" t="str">
            <v>EBAU108</v>
          </cell>
          <cell r="E255" t="str">
            <v xml:space="preserve">光驱 </v>
          </cell>
          <cell r="F255">
            <v>1E-4</v>
          </cell>
          <cell r="G255">
            <v>345</v>
          </cell>
        </row>
        <row r="256">
          <cell r="B256" t="str">
            <v>302-000781</v>
          </cell>
          <cell r="C256" t="str">
            <v>S硬盘2.4T-2.5SAS-12G10K-128M-DZ V1.0</v>
          </cell>
          <cell r="D256" t="str">
            <v>AL15SEB24EQ</v>
          </cell>
          <cell r="E256" t="str">
            <v>硬盘</v>
          </cell>
          <cell r="F256">
            <v>5.4999999999999997E-3</v>
          </cell>
          <cell r="G256">
            <v>41054</v>
          </cell>
          <cell r="I256" t="str">
            <v>99-000781</v>
          </cell>
        </row>
        <row r="257">
          <cell r="B257" t="str">
            <v>302-000605</v>
          </cell>
          <cell r="C257" t="str">
            <v>硬盘2400G-SAS 12Gb/s-10K-2.5及3.5托 DZ</v>
          </cell>
          <cell r="D257">
            <v>2540006</v>
          </cell>
          <cell r="E257" t="str">
            <v>硬盘</v>
          </cell>
          <cell r="F257">
            <v>5.4999999999999997E-3</v>
          </cell>
          <cell r="G257">
            <v>37</v>
          </cell>
          <cell r="I257" t="str">
            <v>99-000781</v>
          </cell>
        </row>
        <row r="258">
          <cell r="B258" t="str">
            <v>302-000606</v>
          </cell>
          <cell r="C258" t="str">
            <v>S硬盘2.4T-2.5SAS-12G10K-256M-XJ V1.1</v>
          </cell>
          <cell r="D258">
            <v>2540006</v>
          </cell>
          <cell r="E258" t="str">
            <v>硬盘</v>
          </cell>
          <cell r="F258">
            <v>5.4999999999999997E-3</v>
          </cell>
          <cell r="G258">
            <v>18074</v>
          </cell>
          <cell r="I258" t="str">
            <v>99-000781</v>
          </cell>
        </row>
        <row r="259">
          <cell r="B259" t="str">
            <v>302-000602</v>
          </cell>
          <cell r="C259" t="str">
            <v>硬盘2400G-SAS 12Gb/s-10K-2.5及托 XJ</v>
          </cell>
          <cell r="D259">
            <v>2540005</v>
          </cell>
          <cell r="E259" t="str">
            <v>硬盘</v>
          </cell>
          <cell r="F259">
            <v>5.4999999999999997E-3</v>
          </cell>
          <cell r="G259">
            <v>14210</v>
          </cell>
          <cell r="I259" t="str">
            <v>99-000781</v>
          </cell>
        </row>
        <row r="260">
          <cell r="B260" t="str">
            <v>302-000597</v>
          </cell>
          <cell r="C260" t="str">
            <v>硬盘2400G-SAS 12Gb/s-10K-2.5及托 备 XJ</v>
          </cell>
          <cell r="D260" t="str">
            <v>02540005=</v>
          </cell>
          <cell r="E260" t="str">
            <v>硬盘</v>
          </cell>
          <cell r="F260">
            <v>5.4999999999999997E-3</v>
          </cell>
          <cell r="G260">
            <v>203</v>
          </cell>
          <cell r="I260" t="str">
            <v>99-000781</v>
          </cell>
        </row>
        <row r="261">
          <cell r="B261" t="str">
            <v>302-001056</v>
          </cell>
          <cell r="C261" t="str">
            <v>S硬盘2.4T-2.5SAS-12G10K-256M-XJ V1.0</v>
          </cell>
          <cell r="D261" t="str">
            <v>ST2400MM0129</v>
          </cell>
          <cell r="E261" t="str">
            <v>硬盘</v>
          </cell>
          <cell r="F261">
            <v>5.4999999999999997E-3</v>
          </cell>
          <cell r="G261">
            <v>35327</v>
          </cell>
          <cell r="I261" t="str">
            <v>99-000781</v>
          </cell>
        </row>
        <row r="262">
          <cell r="B262" t="str">
            <v>302-000893</v>
          </cell>
          <cell r="C262" t="str">
            <v>USB3.0转2.5 SATA转换器易驱线 胜为</v>
          </cell>
          <cell r="D262" t="str">
            <v>SA-1015/SA-3015</v>
          </cell>
          <cell r="E262" t="str">
            <v>线缆</v>
          </cell>
          <cell r="F262">
            <v>2E-3</v>
          </cell>
          <cell r="G262">
            <v>302</v>
          </cell>
        </row>
        <row r="263">
          <cell r="B263" t="str">
            <v>302-000079</v>
          </cell>
          <cell r="C263" t="str">
            <v>固态盘ES3610SV5读写3200G SAS 2.5(3.5托)</v>
          </cell>
          <cell r="D263">
            <v>2550016</v>
          </cell>
          <cell r="E263" t="str">
            <v>硬盘</v>
          </cell>
          <cell r="F263">
            <v>5.4999999999999997E-3</v>
          </cell>
          <cell r="G263">
            <v>2</v>
          </cell>
        </row>
        <row r="264">
          <cell r="B264" t="str">
            <v>302-000774</v>
          </cell>
          <cell r="C264" t="str">
            <v>SSD-1920G-SATA PM883 2.5无托</v>
          </cell>
          <cell r="D264" t="str">
            <v>MZ7LH1T9HMLT-00005</v>
          </cell>
          <cell r="E264" t="str">
            <v>硬盘</v>
          </cell>
          <cell r="F264">
            <v>5.4999999999999997E-3</v>
          </cell>
          <cell r="G264">
            <v>2010</v>
          </cell>
          <cell r="I264" t="str">
            <v>99-000774</v>
          </cell>
        </row>
        <row r="265">
          <cell r="B265" t="str">
            <v>302-000061</v>
          </cell>
          <cell r="C265" t="str">
            <v>固态盘-1920G-SATA PM883-2.5(3.5托)</v>
          </cell>
          <cell r="D265" t="str">
            <v>02312VXJ</v>
          </cell>
          <cell r="E265" t="str">
            <v>硬盘</v>
          </cell>
          <cell r="F265">
            <v>5.4999999999999997E-3</v>
          </cell>
          <cell r="G265">
            <v>4</v>
          </cell>
          <cell r="I265" t="str">
            <v>99-000774</v>
          </cell>
        </row>
        <row r="266">
          <cell r="B266" t="str">
            <v>302-001165</v>
          </cell>
          <cell r="C266" t="str">
            <v>SSD PM883-1.92T-SATA-6G-2.5读取SX V1.0</v>
          </cell>
          <cell r="D266" t="str">
            <v>MZ7LH1T9HMLT-00005</v>
          </cell>
          <cell r="E266" t="str">
            <v>硬盘</v>
          </cell>
          <cell r="F266">
            <v>5.4999999999999997E-3</v>
          </cell>
          <cell r="G266">
            <v>10240</v>
          </cell>
          <cell r="I266" t="str">
            <v>99-000774</v>
          </cell>
        </row>
        <row r="267">
          <cell r="B267" t="str">
            <v>302-001308</v>
          </cell>
          <cell r="C267" t="str">
            <v>SSD PM883读取-1.92TB-SATA 2.5无托</v>
          </cell>
          <cell r="D267" t="str">
            <v>MZ7LH1T9HMLT-00005</v>
          </cell>
          <cell r="E267" t="str">
            <v>硬盘</v>
          </cell>
          <cell r="F267">
            <v>5.4999999999999997E-3</v>
          </cell>
          <cell r="G267">
            <v>0</v>
          </cell>
          <cell r="I267" t="str">
            <v>99-000774</v>
          </cell>
        </row>
        <row r="268">
          <cell r="B268" t="str">
            <v>302-001353</v>
          </cell>
          <cell r="C268" t="str">
            <v>SSD ES3521A V6读取-1.92T-SATA 2.5(3.5托)</v>
          </cell>
          <cell r="D268">
            <v>2550436</v>
          </cell>
          <cell r="E268" t="str">
            <v>硬盘</v>
          </cell>
          <cell r="F268">
            <v>5.4999999999999997E-3</v>
          </cell>
          <cell r="G268">
            <v>454</v>
          </cell>
          <cell r="I268" t="str">
            <v>99-001354</v>
          </cell>
        </row>
        <row r="269">
          <cell r="B269" t="str">
            <v>302-001354</v>
          </cell>
          <cell r="C269" t="str">
            <v>SSD ES3521AV6-1.92T-SATA-6G-2.5读取HW V1.0</v>
          </cell>
          <cell r="D269">
            <v>2550439</v>
          </cell>
          <cell r="E269" t="str">
            <v>硬盘</v>
          </cell>
          <cell r="F269">
            <v>5.4999999999999997E-3</v>
          </cell>
          <cell r="G269">
            <v>11828</v>
          </cell>
          <cell r="I269" t="str">
            <v>99-001354</v>
          </cell>
        </row>
        <row r="270">
          <cell r="B270" t="str">
            <v>302-000680</v>
          </cell>
          <cell r="C270" t="str">
            <v>916服务器PCIe提升卡-2槽位(x16,x16)</v>
          </cell>
          <cell r="D270">
            <v>2580130</v>
          </cell>
          <cell r="E270" t="str">
            <v>PCIe提升卡</v>
          </cell>
          <cell r="F270">
            <v>3.0999999999999999E-3</v>
          </cell>
          <cell r="G270">
            <v>590</v>
          </cell>
        </row>
        <row r="271">
          <cell r="B271" t="str">
            <v>302-000690</v>
          </cell>
          <cell r="C271" t="str">
            <v>RAID扣卡 SR130(LSI3008)-no Cache</v>
          </cell>
          <cell r="D271" t="str">
            <v>02311UBX</v>
          </cell>
          <cell r="E271" t="str">
            <v>RAID卡</v>
          </cell>
          <cell r="F271">
            <v>7.7999999999999996E-3</v>
          </cell>
          <cell r="G271">
            <v>2</v>
          </cell>
          <cell r="I271" t="str">
            <v>99-000133</v>
          </cell>
        </row>
        <row r="272">
          <cell r="B272" t="str">
            <v>302-000133</v>
          </cell>
          <cell r="C272" t="str">
            <v>RAID扣卡 SR150-M(Avago3408)-no cache</v>
          </cell>
          <cell r="D272" t="str">
            <v>03033FAT</v>
          </cell>
          <cell r="E272" t="str">
            <v>RAID卡</v>
          </cell>
          <cell r="F272">
            <v>7.7999999999999996E-3</v>
          </cell>
          <cell r="G272">
            <v>267</v>
          </cell>
          <cell r="I272" t="str">
            <v>99-000133</v>
          </cell>
        </row>
        <row r="273">
          <cell r="B273" t="str">
            <v>302-000696</v>
          </cell>
          <cell r="C273" t="str">
            <v>916服务器-750W白金交流电源模块</v>
          </cell>
          <cell r="D273" t="str">
            <v>02310QWX</v>
          </cell>
          <cell r="E273" t="str">
            <v>电源</v>
          </cell>
          <cell r="F273">
            <v>5.0000000000000001E-3</v>
          </cell>
          <cell r="G273">
            <v>2302</v>
          </cell>
        </row>
        <row r="274">
          <cell r="B274" t="str">
            <v>302-000698</v>
          </cell>
          <cell r="C274" t="str">
            <v>916服务器-8038风扇组件</v>
          </cell>
          <cell r="D274" t="str">
            <v>02311AFU</v>
          </cell>
          <cell r="E274" t="str">
            <v>风扇</v>
          </cell>
          <cell r="F274">
            <v>2.8999999999999998E-3</v>
          </cell>
          <cell r="G274">
            <v>3953</v>
          </cell>
        </row>
        <row r="275">
          <cell r="B275" t="str">
            <v>302-000710</v>
          </cell>
          <cell r="C275" t="str">
            <v>S主板 S920X01-7260-AH 1*（920,64C）04.1</v>
          </cell>
          <cell r="D275" t="str">
            <v>03050CSU</v>
          </cell>
          <cell r="E275" t="str">
            <v>主板</v>
          </cell>
          <cell r="F275">
            <v>8.5000000000000006E-3</v>
          </cell>
          <cell r="G275">
            <v>2</v>
          </cell>
          <cell r="I275" t="str">
            <v>99-000710</v>
          </cell>
        </row>
        <row r="276">
          <cell r="B276" t="str">
            <v>302-000352</v>
          </cell>
          <cell r="C276" t="str">
            <v>S主板 S920X01-7260-AE 1*920,64C</v>
          </cell>
          <cell r="D276" t="str">
            <v>03050BDR</v>
          </cell>
          <cell r="E276" t="str">
            <v>主板</v>
          </cell>
          <cell r="F276">
            <v>8.5000000000000006E-3</v>
          </cell>
          <cell r="G276">
            <v>6</v>
          </cell>
          <cell r="I276" t="str">
            <v>99-000710</v>
          </cell>
        </row>
        <row r="277">
          <cell r="B277" t="str">
            <v>318-</v>
          </cell>
          <cell r="C277" t="str">
            <v>SSD SDHKD-UE读写-1.6TB-NVMe U.2客供</v>
          </cell>
          <cell r="D277" t="str">
            <v>SDHKD-UE1600,SDHKD-UE1600-1</v>
          </cell>
          <cell r="E277" t="str">
            <v>硬盘</v>
          </cell>
          <cell r="F277">
            <v>5.4999999999999997E-3</v>
          </cell>
          <cell r="G277">
            <v>2019</v>
          </cell>
        </row>
        <row r="278">
          <cell r="B278" t="str">
            <v>302-001003</v>
          </cell>
          <cell r="C278" t="str">
            <v>#S主板S920S00K-2*5221K(32C@2.6)-AF-VD-1711</v>
          </cell>
          <cell r="D278" t="str">
            <v>03050CTB</v>
          </cell>
          <cell r="E278" t="str">
            <v>主板</v>
          </cell>
          <cell r="F278">
            <v>8.5000000000000006E-3</v>
          </cell>
          <cell r="G278">
            <v>3432</v>
          </cell>
          <cell r="I278" t="str">
            <v>99-001003</v>
          </cell>
        </row>
        <row r="279">
          <cell r="B279" t="str">
            <v>302-000348</v>
          </cell>
          <cell r="C279" t="str">
            <v>#S主板S920S00K-2*5221K(32C@2.6)-VD-1710</v>
          </cell>
          <cell r="D279" t="str">
            <v>03050BAG</v>
          </cell>
          <cell r="E279" t="str">
            <v>主板</v>
          </cell>
          <cell r="F279">
            <v>8.5000000000000006E-3</v>
          </cell>
          <cell r="G279">
            <v>7</v>
          </cell>
          <cell r="I279" t="str">
            <v>99-001003</v>
          </cell>
        </row>
        <row r="280">
          <cell r="B280" t="str">
            <v>302-001362</v>
          </cell>
          <cell r="C280" t="str">
            <v>#S主板S920S00K-2*5221K(32C@2.6)-AJ-VE-1711</v>
          </cell>
          <cell r="D280" t="str">
            <v>03050FTX</v>
          </cell>
          <cell r="E280" t="str">
            <v>主板</v>
          </cell>
          <cell r="F280">
            <v>8.5000000000000006E-3</v>
          </cell>
          <cell r="G280">
            <v>1257</v>
          </cell>
          <cell r="I280" t="str">
            <v>99-001003</v>
          </cell>
        </row>
        <row r="281">
          <cell r="B281" t="str">
            <v>302-000009</v>
          </cell>
          <cell r="C281" t="str">
            <v>信创S主板 2*920,32C信创</v>
          </cell>
          <cell r="D281" t="str">
            <v>02313AQA</v>
          </cell>
          <cell r="E281" t="str">
            <v>主板</v>
          </cell>
          <cell r="F281">
            <v>8.5000000000000006E-3</v>
          </cell>
          <cell r="G281">
            <v>0</v>
          </cell>
          <cell r="I281" t="str">
            <v>99-001003</v>
          </cell>
        </row>
        <row r="282">
          <cell r="B282" t="str">
            <v>302-001078</v>
          </cell>
          <cell r="C282" t="str">
            <v>S内存DDR4-16G-2933-2Rx8-RD SX V1.0</v>
          </cell>
          <cell r="D282" t="str">
            <v>M393A2K43DB2-CVF</v>
          </cell>
          <cell r="E282" t="str">
            <v>内存</v>
          </cell>
          <cell r="F282">
            <v>2E-3</v>
          </cell>
          <cell r="G282">
            <v>1064</v>
          </cell>
          <cell r="I282" t="str">
            <v>99-001078</v>
          </cell>
        </row>
        <row r="283">
          <cell r="B283" t="str">
            <v>302-000537</v>
          </cell>
          <cell r="C283" t="str">
            <v>S内存DDR4-16G-2933-2Rx8-RD SX V1.1</v>
          </cell>
          <cell r="D283">
            <v>2510003</v>
          </cell>
          <cell r="E283" t="str">
            <v>内存</v>
          </cell>
          <cell r="F283">
            <v>2E-3</v>
          </cell>
          <cell r="G283">
            <v>1154</v>
          </cell>
          <cell r="I283" t="str">
            <v>99-001078</v>
          </cell>
        </row>
        <row r="284">
          <cell r="B284" t="str">
            <v>302-001321</v>
          </cell>
          <cell r="C284" t="str">
            <v>S内存DDR4-16GB-2933-2Rank(1G*8bit) SX</v>
          </cell>
          <cell r="D284" t="str">
            <v>M393A2K43CB2-CVFBY</v>
          </cell>
          <cell r="E284" t="str">
            <v>内存</v>
          </cell>
          <cell r="F284">
            <v>2E-3</v>
          </cell>
          <cell r="G284">
            <v>5319</v>
          </cell>
          <cell r="I284" t="str">
            <v>99-001078</v>
          </cell>
        </row>
        <row r="285">
          <cell r="B285" t="str">
            <v>302-001633</v>
          </cell>
          <cell r="C285" t="str">
            <v>S内存DDR4-16G-2933-2Rank(1G*8bit) SX</v>
          </cell>
          <cell r="D285">
            <v>6200286</v>
          </cell>
          <cell r="E285" t="str">
            <v>内存</v>
          </cell>
          <cell r="F285">
            <v>2E-3</v>
          </cell>
          <cell r="G285">
            <v>2960</v>
          </cell>
          <cell r="I285" t="str">
            <v>99-001078</v>
          </cell>
        </row>
        <row r="286">
          <cell r="B286" t="str">
            <v>302-001812</v>
          </cell>
          <cell r="C286" t="str">
            <v>S内存DDR4-16GB-2933-2Rank(1G*8bit) SX</v>
          </cell>
          <cell r="D286" t="str">
            <v>M393A2K43CB2-CVFC0</v>
          </cell>
          <cell r="E286" t="str">
            <v>内存</v>
          </cell>
          <cell r="F286">
            <v>2E-3</v>
          </cell>
          <cell r="G286">
            <v>24</v>
          </cell>
          <cell r="I286" t="str">
            <v>99-001078</v>
          </cell>
        </row>
        <row r="287">
          <cell r="B287" t="str">
            <v>302-000960</v>
          </cell>
          <cell r="C287" t="str">
            <v>S内存DDR4-16GB-2933-2Rank(1G*8bit) SX</v>
          </cell>
          <cell r="D287" t="str">
            <v>M393A2K43DB2-CVF</v>
          </cell>
          <cell r="E287" t="str">
            <v>内存</v>
          </cell>
          <cell r="F287">
            <v>2E-3</v>
          </cell>
          <cell r="G287">
            <v>38</v>
          </cell>
          <cell r="I287" t="str">
            <v>99-001078</v>
          </cell>
        </row>
        <row r="288">
          <cell r="B288" t="str">
            <v>302-001714</v>
          </cell>
          <cell r="C288" t="str">
            <v>S内存DDR4-16G-3200-2Rx8-RD SX V1.0</v>
          </cell>
          <cell r="D288">
            <v>2510051</v>
          </cell>
          <cell r="E288" t="str">
            <v>内存</v>
          </cell>
          <cell r="F288">
            <v>2E-3</v>
          </cell>
          <cell r="G288">
            <v>6950</v>
          </cell>
          <cell r="I288" t="str">
            <v>99-001714</v>
          </cell>
        </row>
        <row r="289">
          <cell r="B289" t="str">
            <v>302-000387</v>
          </cell>
          <cell r="C289" t="str">
            <v>SSD D916-3.2T-NVMe3.0-2.5读写YHCY V1.0</v>
          </cell>
          <cell r="D289" t="str">
            <v>P5916DT0320M00</v>
          </cell>
          <cell r="E289" t="str">
            <v>硬盘</v>
          </cell>
          <cell r="F289">
            <v>5.4999999999999997E-3</v>
          </cell>
          <cell r="G289">
            <v>2</v>
          </cell>
          <cell r="I289" t="str">
            <v>99-000397</v>
          </cell>
        </row>
        <row r="290">
          <cell r="B290" t="str">
            <v>302-000159</v>
          </cell>
          <cell r="C290" t="str">
            <v>网卡4*10GE(Hi1822)-SFP+-PCIe3.0x8</v>
          </cell>
          <cell r="D290" t="str">
            <v>02312QRP</v>
          </cell>
          <cell r="E290" t="str">
            <v>网卡</v>
          </cell>
          <cell r="F290">
            <v>5.7999999999999996E-3</v>
          </cell>
          <cell r="G290">
            <v>431</v>
          </cell>
        </row>
        <row r="291">
          <cell r="B291" t="str">
            <v>302-000002</v>
          </cell>
          <cell r="C291" t="str">
            <v>S主板 S920X00-5230 2*920,32C-1710</v>
          </cell>
          <cell r="D291" t="str">
            <v>03027WNP</v>
          </cell>
          <cell r="E291" t="str">
            <v>主板</v>
          </cell>
          <cell r="F291">
            <v>8.5000000000000006E-3</v>
          </cell>
          <cell r="G291">
            <v>8</v>
          </cell>
          <cell r="I291" t="str">
            <v>99-000665</v>
          </cell>
        </row>
        <row r="292">
          <cell r="B292" t="str">
            <v>302-000665</v>
          </cell>
          <cell r="C292" t="str">
            <v>S主板 S920X00-5230-AE 2*（920,32C）</v>
          </cell>
          <cell r="D292" t="str">
            <v>03050BDQ</v>
          </cell>
          <cell r="E292" t="str">
            <v>主板</v>
          </cell>
          <cell r="F292">
            <v>8.5000000000000006E-3</v>
          </cell>
          <cell r="G292">
            <v>455</v>
          </cell>
          <cell r="I292" t="str">
            <v>99-000665</v>
          </cell>
        </row>
        <row r="293">
          <cell r="B293" t="str">
            <v>302-000662</v>
          </cell>
          <cell r="C293" t="str">
            <v>SSD PM1643a-960G-SAS-12G-2.5读取SX V1.0</v>
          </cell>
          <cell r="D293" t="str">
            <v>MZILT960HBHQ-00007</v>
          </cell>
          <cell r="E293" t="str">
            <v>硬盘</v>
          </cell>
          <cell r="F293">
            <v>5.4999999999999997E-3</v>
          </cell>
          <cell r="G293">
            <v>1168</v>
          </cell>
          <cell r="I293" t="str">
            <v>99-000662</v>
          </cell>
        </row>
        <row r="294">
          <cell r="B294" t="str">
            <v>302-000075</v>
          </cell>
          <cell r="C294" t="str">
            <v>SSD ES3510SV5-960G-SAS-12G-2.5读取HW V1.0</v>
          </cell>
          <cell r="D294" t="str">
            <v>03033FKP</v>
          </cell>
          <cell r="E294" t="str">
            <v>硬盘</v>
          </cell>
          <cell r="F294">
            <v>5.4999999999999997E-3</v>
          </cell>
          <cell r="G294">
            <v>759</v>
          </cell>
          <cell r="I294" t="str">
            <v>99-000662</v>
          </cell>
        </row>
        <row r="295">
          <cell r="B295" t="str">
            <v>302-000083</v>
          </cell>
          <cell r="C295" t="str">
            <v>固态盘ES3510SV5读取3840G SAS 2.5(3.5托)</v>
          </cell>
          <cell r="D295">
            <v>2550018</v>
          </cell>
          <cell r="E295" t="str">
            <v>硬盘</v>
          </cell>
          <cell r="F295">
            <v>5.4999999999999997E-3</v>
          </cell>
          <cell r="G295">
            <v>50</v>
          </cell>
          <cell r="I295" t="str">
            <v>99-000083</v>
          </cell>
        </row>
        <row r="296">
          <cell r="B296" t="str">
            <v>302-001879</v>
          </cell>
          <cell r="C296" t="str">
            <v>SSD-ES3500S-V6-3.84T-SAS-12Gb/s读取2.5寸</v>
          </cell>
          <cell r="D296">
            <v>2550602</v>
          </cell>
          <cell r="E296" t="str">
            <v>硬盘</v>
          </cell>
          <cell r="F296">
            <v>5.4999999999999997E-3</v>
          </cell>
          <cell r="G296">
            <v>972</v>
          </cell>
          <cell r="I296" t="str">
            <v>99-000083</v>
          </cell>
        </row>
        <row r="297">
          <cell r="B297" t="str">
            <v>302-000085</v>
          </cell>
          <cell r="C297" t="str">
            <v>固态盘ES3510SV5读取3840G SAS 2.5及托</v>
          </cell>
          <cell r="D297">
            <v>2550017</v>
          </cell>
          <cell r="E297" t="str">
            <v>硬盘</v>
          </cell>
          <cell r="F297">
            <v>5.4999999999999997E-3</v>
          </cell>
          <cell r="G297">
            <v>0</v>
          </cell>
          <cell r="I297" t="str">
            <v>99-000083</v>
          </cell>
        </row>
        <row r="298">
          <cell r="B298" t="str">
            <v>302-000087</v>
          </cell>
          <cell r="C298" t="str">
            <v>SSD ES3510SV5-7.68T-SAS-12G-2.5读取HW V1.0</v>
          </cell>
          <cell r="D298">
            <v>2550021</v>
          </cell>
          <cell r="E298" t="str">
            <v>硬盘</v>
          </cell>
          <cell r="F298">
            <v>5.4999999999999997E-3</v>
          </cell>
          <cell r="G298">
            <v>110</v>
          </cell>
          <cell r="I298" t="str">
            <v>99-004341</v>
          </cell>
        </row>
        <row r="299">
          <cell r="B299" t="str">
            <v>302-000672</v>
          </cell>
          <cell r="C299" t="str">
            <v>左挂耳（CETC logo）</v>
          </cell>
          <cell r="D299">
            <v>29115416</v>
          </cell>
          <cell r="E299" t="str">
            <v>挂耳</v>
          </cell>
          <cell r="F299">
            <v>1.6000000000000001E-3</v>
          </cell>
          <cell r="G299">
            <v>126</v>
          </cell>
        </row>
        <row r="300">
          <cell r="B300" t="str">
            <v>302-000703</v>
          </cell>
          <cell r="C300" t="str">
            <v>固态盘ES3510SV5读取1920G SAS 2.5(3.5托)</v>
          </cell>
          <cell r="D300" t="str">
            <v>02312UQC</v>
          </cell>
          <cell r="E300" t="str">
            <v>硬盘</v>
          </cell>
          <cell r="F300">
            <v>5.4999999999999997E-3</v>
          </cell>
          <cell r="G300">
            <v>306</v>
          </cell>
          <cell r="I300" t="str">
            <v>99-000703</v>
          </cell>
        </row>
        <row r="301">
          <cell r="B301" t="str">
            <v>302-000661</v>
          </cell>
          <cell r="C301" t="str">
            <v>SSD PM1643a-1.92T-SAS-12G-2.5读取SX V1.0</v>
          </cell>
          <cell r="D301" t="str">
            <v>MZILT1T9HBJR-00007</v>
          </cell>
          <cell r="E301" t="str">
            <v>硬盘</v>
          </cell>
          <cell r="F301">
            <v>5.4999999999999997E-3</v>
          </cell>
          <cell r="G301">
            <v>399</v>
          </cell>
          <cell r="I301" t="str">
            <v>99-000703</v>
          </cell>
        </row>
        <row r="302">
          <cell r="B302" t="str">
            <v>302-001101</v>
          </cell>
          <cell r="C302" t="str">
            <v>SSD-1.92TB-SAS-PM1643a读取2.5无托</v>
          </cell>
          <cell r="D302" t="str">
            <v>MZILT1T9HBJR-00007</v>
          </cell>
          <cell r="E302" t="str">
            <v>硬盘</v>
          </cell>
          <cell r="F302">
            <v>5.4999999999999997E-3</v>
          </cell>
          <cell r="G302">
            <v>317</v>
          </cell>
          <cell r="I302" t="str">
            <v>99-000703</v>
          </cell>
        </row>
        <row r="303">
          <cell r="B303" t="str">
            <v>302-000170</v>
          </cell>
          <cell r="C303" t="str">
            <v>FC HBA卡8G双口Hi1822 HHFH+2光模块</v>
          </cell>
          <cell r="D303" t="str">
            <v>02312SED</v>
          </cell>
          <cell r="E303" t="str">
            <v>HBA卡</v>
          </cell>
          <cell r="F303">
            <v>6.1999999999999998E-3</v>
          </cell>
          <cell r="G303">
            <v>8</v>
          </cell>
        </row>
        <row r="304">
          <cell r="B304" t="str">
            <v>317-</v>
          </cell>
          <cell r="C304" t="str">
            <v>GPU卡-NVIDIA Tesla A100-40GB PCIe客供</v>
          </cell>
          <cell r="D304" t="str">
            <v>NVIDIA-TESLA A100-1,NVIDIA-TESLA A100</v>
          </cell>
          <cell r="E304" t="str">
            <v>PCIe提升卡</v>
          </cell>
          <cell r="F304">
            <v>3.0999999999999999E-3</v>
          </cell>
          <cell r="G304">
            <v>906</v>
          </cell>
        </row>
        <row r="305">
          <cell r="B305" t="str">
            <v>319-</v>
          </cell>
          <cell r="C305" t="str">
            <v>SSD SDHKD-UE读写-3.2TB-NVMe 2.5无托U.2客供</v>
          </cell>
          <cell r="D305" t="str">
            <v>SDHKD-UE3200-1,SDHKD-UE3200</v>
          </cell>
          <cell r="E305" t="str">
            <v>硬盘</v>
          </cell>
          <cell r="F305">
            <v>5.4999999999999997E-3</v>
          </cell>
          <cell r="G305">
            <v>1231</v>
          </cell>
        </row>
        <row r="306">
          <cell r="B306" t="str">
            <v>302-001705</v>
          </cell>
          <cell r="C306" t="str">
            <v>RAID标卡 9560-8i-4G Cache</v>
          </cell>
          <cell r="D306" t="str">
            <v>02560060</v>
          </cell>
          <cell r="E306" t="str">
            <v>RAID卡</v>
          </cell>
          <cell r="F306">
            <v>7.7999999999999996E-3</v>
          </cell>
          <cell r="G306">
            <v>15868</v>
          </cell>
          <cell r="I306" t="str">
            <v>99-001705</v>
          </cell>
        </row>
        <row r="307">
          <cell r="B307" t="str">
            <v>302-001130</v>
          </cell>
          <cell r="C307" t="str">
            <v>RAID标卡 9560-8i-PCIe4.0×8-4GB Cache</v>
          </cell>
          <cell r="D307" t="str">
            <v>9560-8i</v>
          </cell>
          <cell r="E307" t="str">
            <v>RAID卡</v>
          </cell>
          <cell r="F307">
            <v>7.7999999999999996E-3</v>
          </cell>
          <cell r="G307">
            <v>996</v>
          </cell>
          <cell r="I307" t="str">
            <v>99-001705</v>
          </cell>
        </row>
        <row r="308">
          <cell r="B308" t="str">
            <v>302-002612</v>
          </cell>
          <cell r="C308" t="str">
            <v>RAID标卡9560-8i-4G PCIe4.0x8 NMP-HW</v>
          </cell>
          <cell r="D308">
            <v>2560060</v>
          </cell>
          <cell r="E308" t="str">
            <v>RAID卡</v>
          </cell>
          <cell r="F308">
            <v>7.7999999999999996E-3</v>
          </cell>
          <cell r="G308">
            <v>43297</v>
          </cell>
          <cell r="I308" t="str">
            <v>99-001705</v>
          </cell>
        </row>
        <row r="309">
          <cell r="B309" t="str">
            <v>302-002613</v>
          </cell>
          <cell r="C309" t="str">
            <v>RAID标卡9560-8i-4G PCIe4.0x8 NMP-BT</v>
          </cell>
          <cell r="D309" t="str">
            <v>9560-8I</v>
          </cell>
          <cell r="E309" t="str">
            <v>RAID卡</v>
          </cell>
          <cell r="F309">
            <v>7.7999999999999996E-3</v>
          </cell>
          <cell r="G309">
            <v>3888</v>
          </cell>
          <cell r="I309" t="str">
            <v>99-001705</v>
          </cell>
        </row>
        <row r="310">
          <cell r="B310" t="str">
            <v>302-001670</v>
          </cell>
          <cell r="C310" t="str">
            <v>SSD PM893读取-1.92TB-SATA 2.5无托</v>
          </cell>
          <cell r="D310" t="str">
            <v>MZ7L31T9HBLT-00B7C</v>
          </cell>
          <cell r="E310" t="str">
            <v>硬盘</v>
          </cell>
          <cell r="F310">
            <v>5.4999999999999997E-3</v>
          </cell>
          <cell r="G310">
            <v>43983</v>
          </cell>
          <cell r="I310" t="str">
            <v>99-001670</v>
          </cell>
        </row>
        <row r="311">
          <cell r="B311" t="str">
            <v>302-001676</v>
          </cell>
          <cell r="C311" t="str">
            <v>SSD PM893读取-1.92TB-SATA 2.5无托</v>
          </cell>
          <cell r="D311" t="str">
            <v>MZ7L31T9HBLT-00A07</v>
          </cell>
          <cell r="E311" t="str">
            <v>硬盘</v>
          </cell>
          <cell r="F311">
            <v>5.4999999999999997E-3</v>
          </cell>
          <cell r="G311">
            <v>9984</v>
          </cell>
          <cell r="I311" t="str">
            <v>99-001670</v>
          </cell>
        </row>
        <row r="312">
          <cell r="B312" t="str">
            <v>302-000736</v>
          </cell>
          <cell r="C312" t="str">
            <v>SSD D526-3.2T-NVMe3.0-2.5读写YHCY V1.0</v>
          </cell>
          <cell r="D312" t="str">
            <v>P5526DT0320T00</v>
          </cell>
          <cell r="E312" t="str">
            <v>硬盘</v>
          </cell>
          <cell r="F312">
            <v>5.4999999999999997E-3</v>
          </cell>
          <cell r="G312">
            <v>540</v>
          </cell>
          <cell r="I312" t="str">
            <v>99-000736</v>
          </cell>
        </row>
        <row r="313">
          <cell r="B313" t="str">
            <v>302-000161</v>
          </cell>
          <cell r="C313" t="str">
            <v>网卡25G/10G双口SFP28 Mellanox</v>
          </cell>
          <cell r="D313">
            <v>2570016</v>
          </cell>
          <cell r="E313" t="str">
            <v>网卡</v>
          </cell>
          <cell r="F313">
            <v>5.7999999999999996E-3</v>
          </cell>
          <cell r="G313">
            <v>24</v>
          </cell>
          <cell r="I313" t="str">
            <v>99-000739</v>
          </cell>
        </row>
        <row r="314">
          <cell r="B314" t="str">
            <v>302-000553</v>
          </cell>
          <cell r="C314" t="str">
            <v>S内存DDR4-16G-2933-2Rx8-RD MG V1.0</v>
          </cell>
          <cell r="D314">
            <v>2510003</v>
          </cell>
          <cell r="E314" t="str">
            <v>内存</v>
          </cell>
          <cell r="F314">
            <v>2E-3</v>
          </cell>
          <cell r="G314">
            <v>3374</v>
          </cell>
          <cell r="I314" t="str">
            <v>99-000553</v>
          </cell>
        </row>
        <row r="315">
          <cell r="B315" t="str">
            <v>302-000542</v>
          </cell>
          <cell r="C315" t="str">
            <v>S内存DDR4-16G-2933-1Rank(2G*4bit) HLS</v>
          </cell>
          <cell r="D315">
            <v>2510004</v>
          </cell>
          <cell r="E315" t="str">
            <v>内存</v>
          </cell>
          <cell r="F315">
            <v>2E-3</v>
          </cell>
          <cell r="G315">
            <v>2774</v>
          </cell>
          <cell r="I315" t="str">
            <v>99-000542</v>
          </cell>
        </row>
        <row r="316">
          <cell r="B316" t="str">
            <v>302-000636</v>
          </cell>
          <cell r="C316" t="str">
            <v>硬盘600G-SAS 12Gb/s-10K-2.5及托 DZ</v>
          </cell>
          <cell r="D316">
            <v>2540003</v>
          </cell>
          <cell r="E316" t="str">
            <v>硬盘</v>
          </cell>
          <cell r="F316">
            <v>5.4999999999999997E-3</v>
          </cell>
          <cell r="G316">
            <v>151</v>
          </cell>
          <cell r="I316" t="str">
            <v>99-001041</v>
          </cell>
        </row>
        <row r="317">
          <cell r="B317" t="str">
            <v>302-000642</v>
          </cell>
          <cell r="C317" t="str">
            <v>S硬盘600G-2.5SAS-12G10K-128M-DZ V1.0</v>
          </cell>
          <cell r="D317">
            <v>2540002</v>
          </cell>
          <cell r="E317" t="str">
            <v>硬盘</v>
          </cell>
          <cell r="F317">
            <v>5.4999999999999997E-3</v>
          </cell>
          <cell r="G317">
            <v>3161</v>
          </cell>
          <cell r="I317" t="str">
            <v>99-001041</v>
          </cell>
        </row>
        <row r="318">
          <cell r="B318" t="str">
            <v>302-001041</v>
          </cell>
          <cell r="C318" t="str">
            <v>S硬盘600G-2.5SAS-12G10K-128M-DZ-V1.1</v>
          </cell>
          <cell r="D318" t="str">
            <v>AL15SEB060N</v>
          </cell>
          <cell r="E318" t="str">
            <v>硬盘</v>
          </cell>
          <cell r="F318">
            <v>5.4999999999999997E-3</v>
          </cell>
          <cell r="G318">
            <v>1900</v>
          </cell>
          <cell r="I318" t="str">
            <v>99-001041</v>
          </cell>
        </row>
        <row r="319">
          <cell r="B319" t="str">
            <v>302-000643</v>
          </cell>
          <cell r="C319" t="str">
            <v>硬盘600G-SAS 12Gb/s-10K-2.5及3.5托 XJ</v>
          </cell>
          <cell r="D319">
            <v>2540002</v>
          </cell>
          <cell r="E319" t="str">
            <v>硬盘</v>
          </cell>
          <cell r="F319">
            <v>5.4999999999999997E-3</v>
          </cell>
          <cell r="G319">
            <v>5302</v>
          </cell>
          <cell r="I319" t="str">
            <v>99-001041</v>
          </cell>
        </row>
        <row r="320">
          <cell r="B320" t="str">
            <v>302-000637</v>
          </cell>
          <cell r="C320" t="str">
            <v>S硬盘600G-2.5SAS-12G10K-256M-XJ V1.0</v>
          </cell>
          <cell r="D320">
            <v>2540003</v>
          </cell>
          <cell r="E320" t="str">
            <v>硬盘</v>
          </cell>
          <cell r="F320">
            <v>5.4999999999999997E-3</v>
          </cell>
          <cell r="G320">
            <v>6089</v>
          </cell>
          <cell r="I320" t="str">
            <v>99-001041</v>
          </cell>
        </row>
        <row r="321">
          <cell r="B321" t="str">
            <v>302-000639</v>
          </cell>
          <cell r="C321" t="str">
            <v>硬盘600G-SAS 12Gb/s-10K-2.5及3.5托备 DZ</v>
          </cell>
          <cell r="D321" t="str">
            <v>02540002=</v>
          </cell>
          <cell r="E321" t="str">
            <v>硬盘</v>
          </cell>
          <cell r="F321">
            <v>5.4999999999999997E-3</v>
          </cell>
          <cell r="G321">
            <v>8</v>
          </cell>
          <cell r="I321" t="str">
            <v>99-001041</v>
          </cell>
        </row>
        <row r="322">
          <cell r="B322" t="str">
            <v>302-000584</v>
          </cell>
          <cell r="C322" t="str">
            <v>S硬盘10T-3.5SATA-6G7.2K-256M-XS V1.0</v>
          </cell>
          <cell r="D322" t="str">
            <v>0F27464</v>
          </cell>
          <cell r="E322" t="str">
            <v>硬盘</v>
          </cell>
          <cell r="F322">
            <v>5.4999999999999997E-3</v>
          </cell>
          <cell r="G322">
            <v>4924</v>
          </cell>
          <cell r="I322" t="str">
            <v>99-001042</v>
          </cell>
        </row>
        <row r="323">
          <cell r="B323" t="str">
            <v>302-000586</v>
          </cell>
          <cell r="C323" t="str">
            <v>硬盘10T-SATA 6Gb/s-7.2K-3.5及托 DZ</v>
          </cell>
          <cell r="D323" t="str">
            <v>02312VWU</v>
          </cell>
          <cell r="E323" t="str">
            <v>硬盘</v>
          </cell>
          <cell r="F323">
            <v>5.4999999999999997E-3</v>
          </cell>
          <cell r="G323">
            <v>1738</v>
          </cell>
          <cell r="I323" t="str">
            <v>99-001042</v>
          </cell>
        </row>
        <row r="324">
          <cell r="B324" t="str">
            <v>302-001042</v>
          </cell>
          <cell r="C324" t="str">
            <v>S硬盘10T-3.5SATA-6G7.2K-256M-DZ V1.0</v>
          </cell>
          <cell r="D324" t="str">
            <v>MG06ACA10TE</v>
          </cell>
          <cell r="E324" t="str">
            <v>硬盘</v>
          </cell>
          <cell r="F324">
            <v>5.4999999999999997E-3</v>
          </cell>
          <cell r="G324">
            <v>1624</v>
          </cell>
          <cell r="I324" t="str">
            <v>99-001042</v>
          </cell>
        </row>
        <row r="325">
          <cell r="B325" t="str">
            <v>302-000591</v>
          </cell>
          <cell r="C325" t="str">
            <v>S硬盘10T-3.5SATA-6G7.2K-256M-XJ V1.0</v>
          </cell>
          <cell r="D325" t="str">
            <v>02312VWU</v>
          </cell>
          <cell r="E325" t="str">
            <v>硬盘</v>
          </cell>
          <cell r="F325">
            <v>5.4999999999999997E-3</v>
          </cell>
          <cell r="G325">
            <v>9344</v>
          </cell>
          <cell r="I325" t="str">
            <v>99-001042</v>
          </cell>
        </row>
        <row r="326">
          <cell r="B326" t="str">
            <v>302-002532</v>
          </cell>
          <cell r="C326" t="str">
            <v>S硬盘10T-3.5SATA-6G7.2K-256M-HW-V1.0</v>
          </cell>
          <cell r="D326" t="str">
            <v>99015MVG</v>
          </cell>
          <cell r="E326" t="str">
            <v>硬盘</v>
          </cell>
          <cell r="F326">
            <v>5.4999999999999997E-3</v>
          </cell>
          <cell r="G326">
            <v>10000</v>
          </cell>
          <cell r="I326" t="str">
            <v>99-001042</v>
          </cell>
        </row>
        <row r="327">
          <cell r="B327" t="str">
            <v>302-002533</v>
          </cell>
          <cell r="C327" t="str">
            <v>S硬盘10T-3.5SATA-6G7.2K-256M-XJ-V1.0</v>
          </cell>
          <cell r="D327" t="str">
            <v>2TL103-177</v>
          </cell>
          <cell r="E327" t="str">
            <v>硬盘</v>
          </cell>
          <cell r="F327">
            <v>5.4999999999999997E-3</v>
          </cell>
          <cell r="G327">
            <v>3526</v>
          </cell>
          <cell r="I327" t="str">
            <v>99-001042</v>
          </cell>
        </row>
        <row r="328">
          <cell r="B328" t="str">
            <v>302-000780</v>
          </cell>
          <cell r="C328" t="str">
            <v>硬盘900G-SAS 12Gb/s-10K 2.5无托 DZ</v>
          </cell>
          <cell r="D328" t="str">
            <v>AL15SEB090N</v>
          </cell>
          <cell r="E328" t="str">
            <v>硬盘</v>
          </cell>
          <cell r="F328">
            <v>5.4999999999999997E-3</v>
          </cell>
          <cell r="G328">
            <v>616</v>
          </cell>
        </row>
        <row r="329">
          <cell r="B329" t="str">
            <v>302-000625</v>
          </cell>
          <cell r="C329" t="str">
            <v>硬盘1200G-SAS 12Gb/s-10K-2.5及托 XJ</v>
          </cell>
          <cell r="D329" t="str">
            <v>02312VWP</v>
          </cell>
          <cell r="E329" t="str">
            <v>硬盘</v>
          </cell>
          <cell r="F329">
            <v>5.4999999999999997E-3</v>
          </cell>
          <cell r="G329">
            <v>4960</v>
          </cell>
          <cell r="I329" t="str">
            <v>99-001040</v>
          </cell>
        </row>
        <row r="330">
          <cell r="B330" t="str">
            <v>302-000631</v>
          </cell>
          <cell r="C330" t="str">
            <v>S硬盘1.2T-2.5SAS-12G10K-128M-XJ V1.0</v>
          </cell>
          <cell r="D330" t="str">
            <v>02312VWN</v>
          </cell>
          <cell r="E330" t="str">
            <v>硬盘</v>
          </cell>
          <cell r="F330">
            <v>5.4999999999999997E-3</v>
          </cell>
          <cell r="G330">
            <v>128623</v>
          </cell>
          <cell r="I330" t="str">
            <v>99-001040</v>
          </cell>
        </row>
        <row r="331">
          <cell r="B331" t="str">
            <v>302-000622</v>
          </cell>
          <cell r="C331" t="str">
            <v>硬盘1200G-SAS 12Gb/s-10K-2.5及托 备 XJ</v>
          </cell>
          <cell r="D331" t="str">
            <v>02312VWP=</v>
          </cell>
          <cell r="E331" t="str">
            <v>硬盘</v>
          </cell>
          <cell r="F331">
            <v>5.4999999999999997E-3</v>
          </cell>
          <cell r="G331">
            <v>1048</v>
          </cell>
          <cell r="I331" t="str">
            <v>99-001040</v>
          </cell>
        </row>
        <row r="332">
          <cell r="B332" t="str">
            <v>302-000630</v>
          </cell>
          <cell r="C332" t="str">
            <v>硬盘1200G-SAS 12Gb/s-10K-2.5及3.5托 DZ</v>
          </cell>
          <cell r="D332" t="str">
            <v>02312VWN</v>
          </cell>
          <cell r="E332" t="str">
            <v>硬盘</v>
          </cell>
          <cell r="F332">
            <v>5.4999999999999997E-3</v>
          </cell>
          <cell r="G332">
            <v>285</v>
          </cell>
          <cell r="I332" t="str">
            <v>99-001040</v>
          </cell>
        </row>
        <row r="333">
          <cell r="B333" t="str">
            <v>302-001040</v>
          </cell>
          <cell r="C333" t="str">
            <v>S硬盘1.2T-2.5SAS-12G10K-128M-DZ V1.1</v>
          </cell>
          <cell r="D333" t="str">
            <v>AL15SEB12EQ</v>
          </cell>
          <cell r="E333" t="str">
            <v>硬盘</v>
          </cell>
          <cell r="F333">
            <v>5.4999999999999997E-3</v>
          </cell>
          <cell r="G333">
            <v>2925</v>
          </cell>
          <cell r="I333" t="str">
            <v>99-001040</v>
          </cell>
        </row>
        <row r="334">
          <cell r="B334" t="str">
            <v>302-000624</v>
          </cell>
          <cell r="C334" t="str">
            <v>S硬盘1.2T-2.5SAS-12G10K-128M-DZ V1.0</v>
          </cell>
          <cell r="D334" t="str">
            <v>02312VWP</v>
          </cell>
          <cell r="E334" t="str">
            <v>硬盘</v>
          </cell>
          <cell r="F334">
            <v>5.4999999999999997E-3</v>
          </cell>
          <cell r="G334">
            <v>9</v>
          </cell>
          <cell r="I334" t="str">
            <v>99-001040</v>
          </cell>
        </row>
        <row r="335">
          <cell r="B335" t="str">
            <v>302-000423</v>
          </cell>
          <cell r="C335" t="str">
            <v>Riser1&amp;2卡 3*8X SLOT (PCIE X8) 模组(OEM)</v>
          </cell>
          <cell r="D335">
            <v>2580139</v>
          </cell>
          <cell r="E335" t="str">
            <v>Riser模组</v>
          </cell>
          <cell r="F335">
            <v>5.0000000000000001E-3</v>
          </cell>
          <cell r="G335">
            <v>4</v>
          </cell>
        </row>
        <row r="336">
          <cell r="B336" t="str">
            <v>302-000530</v>
          </cell>
          <cell r="C336" t="str">
            <v>Riser1&amp;2 3*8X SLOT(PCIE4.0) T4</v>
          </cell>
          <cell r="D336">
            <v>2580149</v>
          </cell>
          <cell r="E336" t="str">
            <v>Riser模组</v>
          </cell>
          <cell r="F336">
            <v>5.0000000000000001E-3</v>
          </cell>
          <cell r="G336">
            <v>2313</v>
          </cell>
          <cell r="I336" t="str">
            <v>99-000147</v>
          </cell>
        </row>
        <row r="337">
          <cell r="B337" t="str">
            <v>302-001105</v>
          </cell>
          <cell r="C337" t="str">
            <v>网卡 MCX515A-CCUT 100G单口QSFP28</v>
          </cell>
          <cell r="D337" t="str">
            <v>MCX515A-CCUT</v>
          </cell>
          <cell r="E337" t="str">
            <v>网卡</v>
          </cell>
          <cell r="F337">
            <v>5.7999999999999996E-3</v>
          </cell>
          <cell r="G337">
            <v>1</v>
          </cell>
          <cell r="I337" t="str">
            <v>99-001105</v>
          </cell>
        </row>
        <row r="338">
          <cell r="B338" t="str">
            <v>302-000785</v>
          </cell>
          <cell r="C338" t="str">
            <v>网卡 MCX515A-CCUT 100G单口QSFP28</v>
          </cell>
          <cell r="D338" t="str">
            <v>MCX515A-CCUT</v>
          </cell>
          <cell r="E338" t="str">
            <v>网卡</v>
          </cell>
          <cell r="F338">
            <v>5.7999999999999996E-3</v>
          </cell>
          <cell r="G338">
            <v>487</v>
          </cell>
          <cell r="I338" t="str">
            <v>99-001105</v>
          </cell>
        </row>
        <row r="339">
          <cell r="B339" t="str">
            <v>302-000095</v>
          </cell>
          <cell r="C339" t="str">
            <v>SSD ES3610PV5-3.2T-NVMe3.0-2.5读写HW V1.0</v>
          </cell>
          <cell r="D339">
            <v>2550004</v>
          </cell>
          <cell r="E339" t="str">
            <v>硬盘</v>
          </cell>
          <cell r="F339">
            <v>5.4999999999999997E-3</v>
          </cell>
          <cell r="G339">
            <v>1073</v>
          </cell>
          <cell r="I339" t="str">
            <v>99-000095</v>
          </cell>
        </row>
        <row r="340">
          <cell r="B340" t="str">
            <v>302-000385</v>
          </cell>
          <cell r="C340" t="str">
            <v>SSD ES3610P V5 3200GB-NVMe PCIe-读写</v>
          </cell>
          <cell r="D340">
            <v>2550004</v>
          </cell>
          <cell r="E340" t="str">
            <v>硬盘</v>
          </cell>
          <cell r="F340">
            <v>5.4999999999999997E-3</v>
          </cell>
          <cell r="G340">
            <v>26</v>
          </cell>
          <cell r="I340" t="str">
            <v>99-000095</v>
          </cell>
        </row>
        <row r="341">
          <cell r="B341" t="str">
            <v>302-000738</v>
          </cell>
          <cell r="C341" t="str">
            <v>FC HBA 32G双口SFP+LPe32002-2个光模块HTXC</v>
          </cell>
          <cell r="D341" t="str">
            <v>LPE32002-M2-E</v>
          </cell>
          <cell r="E341" t="str">
            <v>HBA卡</v>
          </cell>
          <cell r="F341">
            <v>6.1999999999999998E-3</v>
          </cell>
          <cell r="G341">
            <v>46</v>
          </cell>
          <cell r="I341" t="str">
            <v>99-001187</v>
          </cell>
        </row>
        <row r="342">
          <cell r="B342" t="str">
            <v>302-001187</v>
          </cell>
          <cell r="C342" t="str">
            <v>FC HBA卡-32Gb-LPe32002-双口-SFP+2光模块</v>
          </cell>
          <cell r="D342" t="str">
            <v>LPE32002-M2</v>
          </cell>
          <cell r="E342" t="str">
            <v>HBA卡</v>
          </cell>
          <cell r="F342">
            <v>6.1999999999999998E-3</v>
          </cell>
          <cell r="G342">
            <v>12</v>
          </cell>
          <cell r="I342" t="str">
            <v>99-001187</v>
          </cell>
        </row>
        <row r="343">
          <cell r="B343" t="str">
            <v>302-002116</v>
          </cell>
          <cell r="C343" t="str">
            <v>FC HBA卡-32Gb-LPe32002-AP-双口-SFP+2光模块</v>
          </cell>
          <cell r="D343" t="str">
            <v>LPE32002-AP</v>
          </cell>
          <cell r="E343" t="str">
            <v>HBA卡</v>
          </cell>
          <cell r="F343">
            <v>6.1999999999999998E-3</v>
          </cell>
          <cell r="G343">
            <v>7481</v>
          </cell>
          <cell r="I343" t="str">
            <v>99-001187</v>
          </cell>
        </row>
        <row r="344">
          <cell r="B344" t="str">
            <v>302-000755</v>
          </cell>
          <cell r="C344" t="str">
            <v>AI推理卡Atlas A300-3000 x16(HHHL)DDR4*8G</v>
          </cell>
          <cell r="D344" t="str">
            <v>02312QEX</v>
          </cell>
          <cell r="E344" t="str">
            <v>AI推理卡</v>
          </cell>
          <cell r="F344">
            <v>6.3E-3</v>
          </cell>
          <cell r="G344">
            <v>206</v>
          </cell>
          <cell r="I344" t="str">
            <v>99-000755</v>
          </cell>
        </row>
        <row r="345">
          <cell r="B345" t="str">
            <v>302-001151</v>
          </cell>
          <cell r="C345" t="str">
            <v>AI卡Atlas 300-3000 x16(HHHL)DDR4*8G-A222</v>
          </cell>
          <cell r="D345" t="str">
            <v>02313HWV</v>
          </cell>
          <cell r="E345" t="str">
            <v>AI推理卡</v>
          </cell>
          <cell r="F345">
            <v>6.3E-3</v>
          </cell>
          <cell r="G345">
            <v>3</v>
          </cell>
          <cell r="I345" t="str">
            <v>99-000755</v>
          </cell>
        </row>
        <row r="346">
          <cell r="B346" t="str">
            <v>302-001127</v>
          </cell>
          <cell r="C346" t="str">
            <v>SSD PM1725B-3.2T-NVMe3.0-2.5读写SX V1.0</v>
          </cell>
          <cell r="D346" t="str">
            <v>MZWLL3T2HAJQ-00005</v>
          </cell>
          <cell r="E346" t="str">
            <v>硬盘</v>
          </cell>
          <cell r="F346">
            <v>5.4999999999999997E-3</v>
          </cell>
          <cell r="G346">
            <v>173</v>
          </cell>
          <cell r="I346" t="str">
            <v>99-001127</v>
          </cell>
        </row>
        <row r="347">
          <cell r="B347" t="str">
            <v>302-000982</v>
          </cell>
          <cell r="C347" t="str">
            <v>SSD PM1725B读写3.2TB-NVMe 2.5 无托企业级</v>
          </cell>
          <cell r="D347" t="str">
            <v>MZWLL3T2HAJQ-00005</v>
          </cell>
          <cell r="E347" t="str">
            <v>硬盘</v>
          </cell>
          <cell r="F347">
            <v>5.4999999999999997E-3</v>
          </cell>
          <cell r="G347">
            <v>6</v>
          </cell>
          <cell r="I347" t="str">
            <v>99-001127</v>
          </cell>
        </row>
        <row r="348">
          <cell r="B348" t="str">
            <v>302-001254</v>
          </cell>
          <cell r="C348" t="str">
            <v>SSD PM1725B读写-3.2TB-NVMe 2.5及托</v>
          </cell>
          <cell r="D348" t="str">
            <v>02312PBN</v>
          </cell>
          <cell r="E348" t="str">
            <v>硬盘</v>
          </cell>
          <cell r="F348">
            <v>5.4999999999999997E-3</v>
          </cell>
          <cell r="G348">
            <v>0</v>
          </cell>
          <cell r="I348" t="str">
            <v>99-001127</v>
          </cell>
        </row>
        <row r="349">
          <cell r="B349" t="str">
            <v>302-000443</v>
          </cell>
          <cell r="C349" t="str">
            <v>固态盘PM1733读写7680GB-NVMe 2.5"</v>
          </cell>
          <cell r="D349" t="str">
            <v>MZWLJ7T6HALA</v>
          </cell>
          <cell r="E349" t="str">
            <v>硬盘</v>
          </cell>
          <cell r="F349">
            <v>5.4999999999999997E-3</v>
          </cell>
          <cell r="G349">
            <v>55</v>
          </cell>
          <cell r="I349" t="str">
            <v>99-001015</v>
          </cell>
        </row>
        <row r="350">
          <cell r="B350" t="str">
            <v>302-001015</v>
          </cell>
          <cell r="C350" t="str">
            <v>SSD PM1733读取-7.68TB-NVMe 2.5无托</v>
          </cell>
          <cell r="D350" t="str">
            <v>MZWLJ7T6HALA-0007C</v>
          </cell>
          <cell r="E350" t="str">
            <v>硬盘</v>
          </cell>
          <cell r="F350">
            <v>5.4999999999999997E-3</v>
          </cell>
          <cell r="G350">
            <v>118</v>
          </cell>
          <cell r="I350" t="str">
            <v>99-001015</v>
          </cell>
        </row>
        <row r="351">
          <cell r="B351" t="str">
            <v>302-001272</v>
          </cell>
          <cell r="C351" t="str">
            <v>SSD PM1733-7.68TB-NVMe4.0-2.5读取SX V1.0</v>
          </cell>
          <cell r="D351" t="str">
            <v>MZWLJ7T6HALA-00007</v>
          </cell>
          <cell r="E351" t="str">
            <v>硬盘</v>
          </cell>
          <cell r="F351">
            <v>5.4999999999999997E-3</v>
          </cell>
          <cell r="G351">
            <v>230</v>
          </cell>
          <cell r="I351" t="str">
            <v>99-001015</v>
          </cell>
        </row>
        <row r="352">
          <cell r="B352" t="str">
            <v>302-001977</v>
          </cell>
          <cell r="C352" t="str">
            <v>S主板S920S00-2*5225F(32C@3.0)-AE-1711</v>
          </cell>
          <cell r="D352" t="str">
            <v>03050JBD</v>
          </cell>
          <cell r="E352" t="str">
            <v>主板</v>
          </cell>
          <cell r="F352">
            <v>8.5000000000000006E-3</v>
          </cell>
          <cell r="G352">
            <v>1740</v>
          </cell>
          <cell r="I352" t="str">
            <v>99-001977</v>
          </cell>
        </row>
        <row r="353">
          <cell r="B353" t="str">
            <v>302-001266</v>
          </cell>
          <cell r="C353" t="str">
            <v>S主板S920S00-5225 2*920,3.0GHz 32C 1711</v>
          </cell>
          <cell r="D353" t="str">
            <v xml:space="preserve">03050EMU </v>
          </cell>
          <cell r="E353" t="str">
            <v>主板</v>
          </cell>
          <cell r="F353">
            <v>8.5000000000000006E-3</v>
          </cell>
          <cell r="G353">
            <v>154</v>
          </cell>
          <cell r="I353" t="str">
            <v>99-001977</v>
          </cell>
        </row>
        <row r="354">
          <cell r="B354" t="str">
            <v>302-001051</v>
          </cell>
          <cell r="C354" t="str">
            <v>S内存DDR4-32G-2933-2Rx8-RD MG V1.0</v>
          </cell>
          <cell r="D354" t="str">
            <v>MTA18ASF4G72PDZ-2G</v>
          </cell>
          <cell r="E354" t="str">
            <v>内存</v>
          </cell>
          <cell r="F354">
            <v>2E-3</v>
          </cell>
          <cell r="G354">
            <v>14917</v>
          </cell>
        </row>
        <row r="355">
          <cell r="B355" t="str">
            <v>302-001014</v>
          </cell>
          <cell r="C355" t="str">
            <v>S内存DDR4-64GB-2933-2Rx4-RD SX V1.0</v>
          </cell>
          <cell r="D355" t="str">
            <v>M393A8G40MB2-CVF</v>
          </cell>
          <cell r="E355" t="str">
            <v>内存</v>
          </cell>
          <cell r="F355">
            <v>2E-3</v>
          </cell>
          <cell r="G355">
            <v>2979</v>
          </cell>
          <cell r="I355" t="str">
            <v>99-001014</v>
          </cell>
        </row>
        <row r="356">
          <cell r="B356" t="str">
            <v>302-000574</v>
          </cell>
          <cell r="C356" t="str">
            <v>S内存DDR4-64G-2933-2Rank(4G*4bit) SX</v>
          </cell>
          <cell r="D356" t="str">
            <v>02312VWL</v>
          </cell>
          <cell r="E356" t="str">
            <v>内存</v>
          </cell>
          <cell r="F356">
            <v>2E-3</v>
          </cell>
          <cell r="G356">
            <v>700</v>
          </cell>
          <cell r="I356" t="str">
            <v>99-001014</v>
          </cell>
        </row>
        <row r="357">
          <cell r="B357" t="str">
            <v>302-001857</v>
          </cell>
          <cell r="C357" t="str">
            <v>S内存DDR4-64GB-2933-2Rank(4G*4bit) SX</v>
          </cell>
          <cell r="D357" t="str">
            <v>M393A8G40MB2-CVFBY</v>
          </cell>
          <cell r="E357" t="str">
            <v>内存</v>
          </cell>
          <cell r="F357">
            <v>2E-3</v>
          </cell>
          <cell r="G357">
            <v>1298</v>
          </cell>
          <cell r="I357" t="str">
            <v>99-001014</v>
          </cell>
        </row>
        <row r="358">
          <cell r="B358" t="str">
            <v>302-001783</v>
          </cell>
          <cell r="C358" t="str">
            <v>S内存DDR4-64GB-2933-2Rank(4G*4bit)</v>
          </cell>
          <cell r="D358">
            <v>6200282</v>
          </cell>
          <cell r="E358" t="str">
            <v>内存</v>
          </cell>
          <cell r="F358">
            <v>2E-3</v>
          </cell>
          <cell r="G358">
            <v>0</v>
          </cell>
          <cell r="I358" t="str">
            <v>99-001014</v>
          </cell>
        </row>
        <row r="359">
          <cell r="B359" t="str">
            <v>302-000519</v>
          </cell>
          <cell r="C359" t="str">
            <v>Riser1&amp;2 1*16X+1*8X(PCIE4.0)双宽GPU</v>
          </cell>
          <cell r="D359">
            <v>2580150</v>
          </cell>
          <cell r="E359" t="str">
            <v>Riser模组</v>
          </cell>
          <cell r="F359">
            <v>5.0000000000000001E-3</v>
          </cell>
          <cell r="G359">
            <v>1839</v>
          </cell>
          <cell r="I359" t="str">
            <v>99-001770</v>
          </cell>
        </row>
        <row r="360">
          <cell r="B360" t="str">
            <v>302-000369</v>
          </cell>
          <cell r="C360" t="str">
            <v>Riser模组 2*2.5后置硬盘背板+1*16X</v>
          </cell>
          <cell r="D360">
            <v>2580078</v>
          </cell>
          <cell r="E360" t="str">
            <v>Riser模组</v>
          </cell>
          <cell r="F360">
            <v>5.0000000000000001E-3</v>
          </cell>
          <cell r="G360">
            <v>197</v>
          </cell>
          <cell r="I360" t="str">
            <v>99-000151</v>
          </cell>
        </row>
        <row r="361">
          <cell r="B361" t="str">
            <v>302-000139</v>
          </cell>
          <cell r="C361" t="str">
            <v>RAID标卡-2GB SmartRAID 3152-8i 含btry</v>
          </cell>
          <cell r="D361">
            <v>2560002</v>
          </cell>
          <cell r="E361" t="str">
            <v>RAID卡</v>
          </cell>
          <cell r="F361">
            <v>7.7999999999999996E-3</v>
          </cell>
          <cell r="G361">
            <v>2419</v>
          </cell>
          <cell r="I361" t="str">
            <v>99-000139</v>
          </cell>
        </row>
        <row r="362">
          <cell r="B362" t="str">
            <v>302-001509</v>
          </cell>
          <cell r="C362" t="str">
            <v>RAID标卡 SmartRAID 3152-8i 2GB 含btry</v>
          </cell>
          <cell r="D362" t="str">
            <v>02312GWM</v>
          </cell>
          <cell r="E362" t="str">
            <v>RAID卡</v>
          </cell>
          <cell r="F362">
            <v>7.7999999999999996E-3</v>
          </cell>
          <cell r="G362">
            <v>503</v>
          </cell>
          <cell r="I362" t="str">
            <v>99-000139</v>
          </cell>
        </row>
        <row r="363">
          <cell r="B363" t="str">
            <v>302-001115</v>
          </cell>
          <cell r="C363" t="str">
            <v>S内存DDR4-32G-3200-2Rx4-RD SX V1.1</v>
          </cell>
          <cell r="D363" t="str">
            <v>M393A4K40DB3-CWEBY</v>
          </cell>
          <cell r="E363" t="str">
            <v>内存</v>
          </cell>
          <cell r="F363">
            <v>2E-3</v>
          </cell>
          <cell r="G363">
            <v>200942</v>
          </cell>
          <cell r="I363" t="str">
            <v>99-001115</v>
          </cell>
        </row>
        <row r="364">
          <cell r="B364" t="str">
            <v>302-001813</v>
          </cell>
          <cell r="C364" t="str">
            <v>S内存DDR4-32G-3200-2Rx4-RD SX V1.0</v>
          </cell>
          <cell r="D364" t="str">
            <v>M393A4K40EB3-CWE</v>
          </cell>
          <cell r="E364" t="str">
            <v>内存</v>
          </cell>
          <cell r="F364">
            <v>2E-3</v>
          </cell>
          <cell r="G364">
            <v>300328</v>
          </cell>
          <cell r="I364" t="str">
            <v>99-001115</v>
          </cell>
        </row>
        <row r="365">
          <cell r="B365" t="str">
            <v>302-001859</v>
          </cell>
          <cell r="C365" t="str">
            <v>S内存DDR4-32GB-3200-2Rank(2G*4bit) SX</v>
          </cell>
          <cell r="D365">
            <v>2510049</v>
          </cell>
          <cell r="E365" t="str">
            <v>内存</v>
          </cell>
          <cell r="F365">
            <v>2E-3</v>
          </cell>
          <cell r="G365">
            <v>616</v>
          </cell>
          <cell r="I365" t="str">
            <v>99-001115</v>
          </cell>
        </row>
        <row r="366">
          <cell r="B366" t="str">
            <v>302-000418</v>
          </cell>
          <cell r="C366" t="str">
            <v>RAID标卡 SmartRAID 3152-8i 2GB 含btry</v>
          </cell>
          <cell r="D366">
            <v>2560018</v>
          </cell>
          <cell r="E366" t="str">
            <v>RAID卡</v>
          </cell>
          <cell r="F366">
            <v>7.7999999999999996E-3</v>
          </cell>
          <cell r="G366">
            <v>0</v>
          </cell>
        </row>
        <row r="367">
          <cell r="B367" t="str">
            <v>302-001778</v>
          </cell>
          <cell r="C367" t="str">
            <v>服务器电源模块 2000W PDC2000S12-B1直流(含线）</v>
          </cell>
          <cell r="D367" t="str">
            <v>02314BYN</v>
          </cell>
          <cell r="E367" t="str">
            <v>电源</v>
          </cell>
          <cell r="F367">
            <v>5.0000000000000001E-3</v>
          </cell>
          <cell r="G367">
            <v>926</v>
          </cell>
          <cell r="I367" t="str">
            <v>99-001778</v>
          </cell>
        </row>
        <row r="368">
          <cell r="B368" t="str">
            <v>302-000141</v>
          </cell>
          <cell r="C368" t="str">
            <v>TM280板载灵活网卡-25GE/10GE光口-4端口</v>
          </cell>
          <cell r="D368" t="str">
            <v>03025VYP</v>
          </cell>
          <cell r="E368" t="str">
            <v>灵活网卡</v>
          </cell>
          <cell r="F368">
            <v>5.7999999999999996E-3</v>
          </cell>
          <cell r="G368">
            <v>9114</v>
          </cell>
          <cell r="I368" t="str">
            <v>99-001036</v>
          </cell>
        </row>
        <row r="369">
          <cell r="B369" t="str">
            <v>302-001036</v>
          </cell>
          <cell r="C369" t="str">
            <v>新TM280板载灵活网卡-25GE/10GE光口-4端口</v>
          </cell>
          <cell r="D369">
            <v>6310214</v>
          </cell>
          <cell r="E369" t="str">
            <v>灵活网卡</v>
          </cell>
          <cell r="F369">
            <v>5.7999999999999996E-3</v>
          </cell>
          <cell r="G369">
            <v>2952</v>
          </cell>
          <cell r="I369" t="str">
            <v>99-001036</v>
          </cell>
        </row>
        <row r="370">
          <cell r="B370" t="str">
            <v>302-000397</v>
          </cell>
          <cell r="C370" t="str">
            <v>SSD D926-3.2T-NVMe3.0-2.5读写YHCY V1.0</v>
          </cell>
          <cell r="D370" t="str">
            <v>P5926DT0320M00</v>
          </cell>
          <cell r="E370" t="str">
            <v>硬盘</v>
          </cell>
          <cell r="F370">
            <v>5.4999999999999997E-3</v>
          </cell>
          <cell r="G370">
            <v>24</v>
          </cell>
          <cell r="I370" t="str">
            <v>99-000397</v>
          </cell>
        </row>
        <row r="371">
          <cell r="B371" t="str">
            <v>302-000992</v>
          </cell>
          <cell r="C371" t="str">
            <v>SSD C926-3.2T-NVMe3.0-HHHL读写YHCY V1.0</v>
          </cell>
          <cell r="D371" t="str">
            <v>P5926CH0320M00</v>
          </cell>
          <cell r="E371" t="str">
            <v>硬盘</v>
          </cell>
          <cell r="F371">
            <v>5.4999999999999997E-3</v>
          </cell>
          <cell r="G371">
            <v>48</v>
          </cell>
        </row>
        <row r="372">
          <cell r="B372" t="str">
            <v>302-000047</v>
          </cell>
          <cell r="C372" t="str">
            <v>SSD SM883-1.92T-SATA-6G-2.5读写SX V1.0</v>
          </cell>
          <cell r="D372" t="str">
            <v>02312VXF</v>
          </cell>
          <cell r="E372" t="str">
            <v>硬盘</v>
          </cell>
          <cell r="F372">
            <v>5.4999999999999997E-3</v>
          </cell>
          <cell r="G372">
            <v>17</v>
          </cell>
          <cell r="I372" t="str">
            <v>99-001400</v>
          </cell>
        </row>
        <row r="373">
          <cell r="B373" t="str">
            <v>302-001400</v>
          </cell>
          <cell r="C373" t="str">
            <v>SSD SM883读写-1.92TB-SATA 2.5无托</v>
          </cell>
          <cell r="D373" t="str">
            <v>MZ7KH1T9HAJR-00005</v>
          </cell>
          <cell r="E373" t="str">
            <v>硬盘</v>
          </cell>
          <cell r="F373">
            <v>5.4999999999999997E-3</v>
          </cell>
          <cell r="G373">
            <v>1012</v>
          </cell>
          <cell r="I373" t="str">
            <v>99-001400</v>
          </cell>
        </row>
        <row r="374">
          <cell r="B374" t="str">
            <v>302-001121</v>
          </cell>
          <cell r="C374" t="str">
            <v>SSD UH830a-3.2TB-NVMe4.0-2.5读写YL V1.0</v>
          </cell>
          <cell r="D374" t="str">
            <v>RP2903T2RK004VX</v>
          </cell>
          <cell r="E374" t="str">
            <v>硬盘</v>
          </cell>
          <cell r="F374">
            <v>5.4999999999999997E-3</v>
          </cell>
          <cell r="G374">
            <v>916</v>
          </cell>
          <cell r="I374" t="str">
            <v>99-001121</v>
          </cell>
        </row>
        <row r="375">
          <cell r="B375" t="str">
            <v>302-000899</v>
          </cell>
          <cell r="C375" t="str">
            <v>SSD PM1733-1.92TB-NVMe4.0-2.5读取SX V1.0</v>
          </cell>
          <cell r="D375" t="str">
            <v>MZWLJ1T9HBJR-0007C</v>
          </cell>
          <cell r="E375" t="str">
            <v>硬盘</v>
          </cell>
          <cell r="F375">
            <v>5.4999999999999997E-3</v>
          </cell>
          <cell r="G375">
            <v>893</v>
          </cell>
          <cell r="I375" t="str">
            <v>99-000899</v>
          </cell>
        </row>
        <row r="376">
          <cell r="B376" t="str">
            <v>302-000444</v>
          </cell>
          <cell r="C376" t="str">
            <v>固态盘PM1733读取1920GB-NVMe 2.5</v>
          </cell>
          <cell r="D376" t="str">
            <v>MZWLJ1T9HBJR</v>
          </cell>
          <cell r="E376" t="str">
            <v>硬盘</v>
          </cell>
          <cell r="F376">
            <v>5.4999999999999997E-3</v>
          </cell>
          <cell r="G376">
            <v>0</v>
          </cell>
          <cell r="I376" t="str">
            <v>99-000899</v>
          </cell>
        </row>
        <row r="377">
          <cell r="B377" t="str">
            <v>302-001845</v>
          </cell>
          <cell r="C377" t="str">
            <v>SSD PM1733读取-1.92TB-NVMe 2.5 无托</v>
          </cell>
          <cell r="D377" t="str">
            <v>MZWLJ1T9HBJR-00007</v>
          </cell>
          <cell r="E377" t="str">
            <v>硬盘</v>
          </cell>
          <cell r="F377">
            <v>5.4999999999999997E-3</v>
          </cell>
          <cell r="G377">
            <v>24</v>
          </cell>
          <cell r="I377" t="str">
            <v>99-000899</v>
          </cell>
        </row>
        <row r="378">
          <cell r="B378" t="str">
            <v>302-000373</v>
          </cell>
          <cell r="C378" t="str">
            <v>后置riser组件2*2.5+1*16x &amp; 2*3.5</v>
          </cell>
          <cell r="D378" t="str">
            <v>02312QYA</v>
          </cell>
          <cell r="E378" t="str">
            <v>Riser模组</v>
          </cell>
          <cell r="F378">
            <v>5.0000000000000001E-3</v>
          </cell>
          <cell r="G378">
            <v>710</v>
          </cell>
        </row>
        <row r="379">
          <cell r="B379" t="str">
            <v>302-001020</v>
          </cell>
          <cell r="C379" t="str">
            <v>S内存DDR4-64G-2933-2Rx4-RD HLS V1.0</v>
          </cell>
          <cell r="D379" t="str">
            <v>HMAA8GR7AJR4N-WMT4</v>
          </cell>
          <cell r="E379" t="str">
            <v>内存</v>
          </cell>
          <cell r="F379">
            <v>2E-3</v>
          </cell>
          <cell r="G379">
            <v>5193</v>
          </cell>
          <cell r="I379" t="str">
            <v>99-001020</v>
          </cell>
        </row>
        <row r="380">
          <cell r="B380" t="str">
            <v>302-000575</v>
          </cell>
          <cell r="C380" t="str">
            <v>S内存DDR4-64G-2933-2Rank(4G*4bit) HLS</v>
          </cell>
          <cell r="D380" t="str">
            <v>02312VWL</v>
          </cell>
          <cell r="E380" t="str">
            <v>内存</v>
          </cell>
          <cell r="F380">
            <v>2E-3</v>
          </cell>
          <cell r="G380">
            <v>0</v>
          </cell>
          <cell r="I380" t="str">
            <v>99-001020</v>
          </cell>
        </row>
        <row r="381">
          <cell r="B381" t="str">
            <v>302-001726</v>
          </cell>
          <cell r="C381" t="str">
            <v>S内存DDR4-16G-2933-1Rx4-RD SX V1.0</v>
          </cell>
          <cell r="D381" t="str">
            <v>M393A2K40DB2-CVF,2510050</v>
          </cell>
          <cell r="E381" t="str">
            <v>内存</v>
          </cell>
          <cell r="F381">
            <v>2E-3</v>
          </cell>
          <cell r="G381">
            <v>102</v>
          </cell>
          <cell r="I381" t="str">
            <v>99-000897</v>
          </cell>
        </row>
        <row r="382">
          <cell r="B382" t="str">
            <v>302-000897</v>
          </cell>
          <cell r="C382" t="str">
            <v>S内存DDR4-16G-2933-1Rank(2G*4bit) SX</v>
          </cell>
          <cell r="D382" t="str">
            <v>M393A2K40DB2-CVF</v>
          </cell>
          <cell r="E382" t="str">
            <v>内存</v>
          </cell>
          <cell r="F382">
            <v>2E-3</v>
          </cell>
          <cell r="G382">
            <v>1727</v>
          </cell>
          <cell r="I382" t="str">
            <v>99-000897</v>
          </cell>
        </row>
        <row r="383">
          <cell r="B383" t="str">
            <v>302-000647</v>
          </cell>
          <cell r="C383" t="str">
            <v>硬盘6T-SATA 6Gb/s-7.2K-3.5及托 XS</v>
          </cell>
          <cell r="D383">
            <v>2540007</v>
          </cell>
          <cell r="E383" t="str">
            <v>硬盘</v>
          </cell>
          <cell r="F383">
            <v>5.4999999999999997E-3</v>
          </cell>
          <cell r="G383">
            <v>1904</v>
          </cell>
          <cell r="I383" t="str">
            <v>99-000646</v>
          </cell>
        </row>
        <row r="384">
          <cell r="B384" t="str">
            <v>302-000646</v>
          </cell>
          <cell r="C384" t="str">
            <v>S硬盘6T-3.5SATA-6G7.2K-256M-XJ V1.0</v>
          </cell>
          <cell r="D384">
            <v>2540007</v>
          </cell>
          <cell r="E384" t="str">
            <v>硬盘</v>
          </cell>
          <cell r="F384">
            <v>5.4999999999999997E-3</v>
          </cell>
          <cell r="G384">
            <v>8496</v>
          </cell>
          <cell r="I384" t="str">
            <v>99-000646</v>
          </cell>
        </row>
        <row r="385">
          <cell r="B385" t="str">
            <v>302-001052</v>
          </cell>
          <cell r="C385" t="str">
            <v>S硬盘6T-3.5SATA-6G7.2K-256M-XJ V1.0</v>
          </cell>
          <cell r="D385" t="str">
            <v>ST6000NM0115</v>
          </cell>
          <cell r="E385" t="str">
            <v>硬盘</v>
          </cell>
          <cell r="F385">
            <v>5.4999999999999997E-3</v>
          </cell>
          <cell r="G385">
            <v>3</v>
          </cell>
          <cell r="I385" t="str">
            <v>99-000646</v>
          </cell>
        </row>
        <row r="386">
          <cell r="B386" t="str">
            <v>302-000986</v>
          </cell>
          <cell r="C386" t="str">
            <v>SSD D526-1.6T-NVMe3.0-2.5读写YHCY V1.0</v>
          </cell>
          <cell r="D386" t="str">
            <v>P5526DT0160T00</v>
          </cell>
          <cell r="E386" t="str">
            <v>硬盘</v>
          </cell>
          <cell r="F386">
            <v>5.4999999999999997E-3</v>
          </cell>
          <cell r="G386">
            <v>293</v>
          </cell>
          <cell r="I386" t="str">
            <v>99-000986</v>
          </cell>
        </row>
        <row r="387">
          <cell r="B387" t="str">
            <v>302-000370</v>
          </cell>
          <cell r="C387" t="str">
            <v>后置PSU 4*2.5硬盘背板组件</v>
          </cell>
          <cell r="D387">
            <v>2580077</v>
          </cell>
          <cell r="E387" t="str">
            <v>后置硬盘背板</v>
          </cell>
          <cell r="F387">
            <v>2.8999999999999998E-3</v>
          </cell>
          <cell r="G387">
            <v>43</v>
          </cell>
        </row>
        <row r="388">
          <cell r="B388" t="str">
            <v>302-000988</v>
          </cell>
          <cell r="C388" t="str">
            <v>S内存DDR4-16G-3200-1Rx8-RD ZG V1.0</v>
          </cell>
          <cell r="D388" t="str">
            <v>SCC16GP03H2F1C-32A</v>
          </cell>
          <cell r="E388" t="str">
            <v>内存</v>
          </cell>
          <cell r="F388">
            <v>2E-3</v>
          </cell>
          <cell r="G388">
            <v>7088</v>
          </cell>
        </row>
        <row r="389">
          <cell r="B389" t="str">
            <v>302-000145</v>
          </cell>
          <cell r="C389" t="str">
            <v>4*3.5"后置硬盘背板(Riser1+2)组件(SAS/SATA)</v>
          </cell>
          <cell r="D389" t="str">
            <v>02312VXR</v>
          </cell>
          <cell r="E389" t="str">
            <v>后置硬盘背板</v>
          </cell>
          <cell r="F389">
            <v>2.8999999999999998E-3</v>
          </cell>
          <cell r="G389">
            <v>22</v>
          </cell>
        </row>
        <row r="390">
          <cell r="B390" t="str">
            <v>302-001268</v>
          </cell>
          <cell r="C390" t="str">
            <v>SSD PM1725B读写-3.2TB-NVMe-HHHL AIC</v>
          </cell>
          <cell r="D390" t="str">
            <v>MZPLL3T2HAJQ-00005</v>
          </cell>
          <cell r="E390" t="str">
            <v>硬盘</v>
          </cell>
          <cell r="F390">
            <v>5.4999999999999997E-3</v>
          </cell>
          <cell r="G390">
            <v>5</v>
          </cell>
          <cell r="I390" t="str">
            <v>99-001126</v>
          </cell>
        </row>
        <row r="391">
          <cell r="B391" t="str">
            <v>302-001126</v>
          </cell>
          <cell r="C391" t="str">
            <v>SSD PM1725B-3.2T-NVMe3.0-HHHL读写SX V1.0</v>
          </cell>
          <cell r="D391" t="str">
            <v>MZPLL3T2HAJQ-00005</v>
          </cell>
          <cell r="E391" t="str">
            <v>硬盘</v>
          </cell>
          <cell r="F391">
            <v>5.4999999999999997E-3</v>
          </cell>
          <cell r="G391">
            <v>10</v>
          </cell>
          <cell r="I391" t="str">
            <v>99-001126</v>
          </cell>
        </row>
        <row r="392">
          <cell r="B392" t="str">
            <v>302-001118</v>
          </cell>
          <cell r="C392" t="str">
            <v>SSD UH810a-3.84TB-NVMe4.0-2.5读取YL V1.0</v>
          </cell>
          <cell r="D392" t="str">
            <v>RP2003T8RK004LX</v>
          </cell>
          <cell r="E392" t="str">
            <v>硬盘</v>
          </cell>
          <cell r="F392">
            <v>5.4999999999999997E-3</v>
          </cell>
          <cell r="G392">
            <v>1542</v>
          </cell>
          <cell r="I392" t="str">
            <v>99-002080</v>
          </cell>
        </row>
        <row r="393">
          <cell r="B393" t="str">
            <v>302-001273</v>
          </cell>
          <cell r="C393" t="str">
            <v>SSD PM1733读取-3.84TB-NVMe 2.5 无托</v>
          </cell>
          <cell r="D393" t="str">
            <v>MZWLJ3T8HBLS-00007</v>
          </cell>
          <cell r="E393" t="str">
            <v>硬盘</v>
          </cell>
          <cell r="F393">
            <v>5.4999999999999997E-3</v>
          </cell>
          <cell r="G393">
            <v>139</v>
          </cell>
          <cell r="I393" t="str">
            <v>99-001273</v>
          </cell>
        </row>
        <row r="394">
          <cell r="B394" t="str">
            <v>302-001155</v>
          </cell>
          <cell r="C394" t="str">
            <v>SSD PM1733读取-3.84TB-NVMe 2.5无托</v>
          </cell>
          <cell r="D394" t="str">
            <v>MZWLJ3T8HBLS-0007C</v>
          </cell>
          <cell r="E394" t="str">
            <v>硬盘</v>
          </cell>
          <cell r="F394">
            <v>5.4999999999999997E-3</v>
          </cell>
          <cell r="G394">
            <v>135</v>
          </cell>
          <cell r="I394" t="str">
            <v>99-001273</v>
          </cell>
        </row>
        <row r="395">
          <cell r="B395" t="str">
            <v>302-001316</v>
          </cell>
          <cell r="C395" t="str">
            <v>SSD PM1733-3.84TB-NVMe4.0-2.5读取SX V1.0</v>
          </cell>
          <cell r="D395" t="str">
            <v>MZWLJ3T8HBLS-00007</v>
          </cell>
          <cell r="E395" t="str">
            <v>硬盘</v>
          </cell>
          <cell r="F395">
            <v>5.4999999999999997E-3</v>
          </cell>
          <cell r="G395">
            <v>4107</v>
          </cell>
          <cell r="I395" t="str">
            <v>99-001273</v>
          </cell>
        </row>
        <row r="396">
          <cell r="B396" t="str">
            <v>302-000666</v>
          </cell>
          <cell r="C396" t="str">
            <v>SSD PM1733读取-3.84TB-NVMe 2.5 无托</v>
          </cell>
          <cell r="D396" t="str">
            <v>MZWLJ3T8HBLS-0007C</v>
          </cell>
          <cell r="E396" t="str">
            <v>硬盘</v>
          </cell>
          <cell r="F396">
            <v>5.4999999999999997E-3</v>
          </cell>
          <cell r="G396">
            <v>1</v>
          </cell>
          <cell r="I396" t="str">
            <v>99-001273</v>
          </cell>
        </row>
        <row r="397">
          <cell r="B397" t="str">
            <v>302-000491</v>
          </cell>
          <cell r="C397" t="str">
            <v>控制板-2U左挂耳板</v>
          </cell>
          <cell r="D397" t="str">
            <v>03025VYY</v>
          </cell>
          <cell r="E397" t="str">
            <v>挂耳</v>
          </cell>
          <cell r="F397">
            <v>1.6000000000000001E-3</v>
          </cell>
          <cell r="G397">
            <v>1468</v>
          </cell>
          <cell r="I397" t="str">
            <v>99-000491</v>
          </cell>
        </row>
        <row r="398">
          <cell r="B398" t="str">
            <v>302-000717</v>
          </cell>
          <cell r="C398" t="str">
            <v>右挂耳接口板-适用于所有机箱</v>
          </cell>
          <cell r="D398" t="str">
            <v>03026HRE</v>
          </cell>
          <cell r="E398" t="str">
            <v>挂耳</v>
          </cell>
          <cell r="F398">
            <v>1.6000000000000001E-3</v>
          </cell>
          <cell r="G398">
            <v>1440</v>
          </cell>
          <cell r="I398" t="str">
            <v>99-000717</v>
          </cell>
        </row>
        <row r="399">
          <cell r="B399" t="str">
            <v>302-001013</v>
          </cell>
          <cell r="C399" t="str">
            <v>S硬盘14T-3.5SATA-6G7.2K-256M-XJ V1.0</v>
          </cell>
          <cell r="D399" t="str">
            <v>ST14000NM001G</v>
          </cell>
          <cell r="E399" t="str">
            <v>硬盘</v>
          </cell>
          <cell r="F399">
            <v>5.4999999999999997E-3</v>
          </cell>
          <cell r="G399">
            <v>16</v>
          </cell>
          <cell r="I399" t="str">
            <v>99-001013</v>
          </cell>
        </row>
        <row r="400">
          <cell r="B400" t="str">
            <v>302-000675</v>
          </cell>
          <cell r="C400" t="str">
            <v>硬盘14T-SATA 6Gb/s-7.2K-3.5及托 XJ</v>
          </cell>
          <cell r="D400">
            <v>2540008</v>
          </cell>
          <cell r="E400" t="str">
            <v>硬盘</v>
          </cell>
          <cell r="F400">
            <v>5.4999999999999997E-3</v>
          </cell>
          <cell r="G400">
            <v>278</v>
          </cell>
          <cell r="I400" t="str">
            <v>99-001013</v>
          </cell>
        </row>
        <row r="401">
          <cell r="B401" t="str">
            <v>302-000673</v>
          </cell>
          <cell r="C401" t="str">
            <v>S硬盘14T-3.5SATA-6G7.2K-512M-XS V1.0</v>
          </cell>
          <cell r="D401">
            <v>2540008</v>
          </cell>
          <cell r="E401" t="str">
            <v>硬盘</v>
          </cell>
          <cell r="F401">
            <v>5.4999999999999997E-3</v>
          </cell>
          <cell r="G401">
            <v>684</v>
          </cell>
          <cell r="I401" t="str">
            <v>99-001013</v>
          </cell>
        </row>
        <row r="402">
          <cell r="B402" t="str">
            <v>302-001038</v>
          </cell>
          <cell r="C402" t="str">
            <v>S硬盘14T-3.5SATA-6G7.2K-256M-DZ V1.0</v>
          </cell>
          <cell r="D402" t="str">
            <v>MG07ACA14TE</v>
          </cell>
          <cell r="E402" t="str">
            <v>硬盘</v>
          </cell>
          <cell r="F402">
            <v>5.4999999999999997E-3</v>
          </cell>
          <cell r="G402">
            <v>1714</v>
          </cell>
          <cell r="I402" t="str">
            <v>99-001013</v>
          </cell>
        </row>
        <row r="403">
          <cell r="B403" t="str">
            <v>302-001123</v>
          </cell>
          <cell r="C403" t="str">
            <v>SSD UH830a-1.6TB-NVMe4.0-2.5读写YL V1.0</v>
          </cell>
          <cell r="D403" t="str">
            <v>RP2001T6RK004VX</v>
          </cell>
          <cell r="E403" t="str">
            <v>硬盘</v>
          </cell>
          <cell r="F403">
            <v>5.4999999999999997E-3</v>
          </cell>
          <cell r="G403">
            <v>469</v>
          </cell>
          <cell r="I403" t="str">
            <v>99-002081</v>
          </cell>
        </row>
        <row r="404">
          <cell r="B404" t="str">
            <v>302-001179</v>
          </cell>
          <cell r="C404" t="str">
            <v>网卡1Gb四口(Intel I350)-RJ45-PCIe 2.0 x4</v>
          </cell>
          <cell r="D404" t="str">
            <v>02311CWM</v>
          </cell>
          <cell r="E404" t="str">
            <v>网卡</v>
          </cell>
          <cell r="F404">
            <v>5.7999999999999996E-3</v>
          </cell>
          <cell r="G404">
            <v>124</v>
          </cell>
          <cell r="I404" t="str">
            <v>99-001646</v>
          </cell>
        </row>
        <row r="405">
          <cell r="B405" t="str">
            <v>302-000677</v>
          </cell>
          <cell r="C405" t="str">
            <v>网卡10Gb 双口 MCX4121A-XCAT不含光模块KT</v>
          </cell>
          <cell r="D405" t="str">
            <v>MCX4121A-XCAT</v>
          </cell>
          <cell r="E405" t="str">
            <v>网卡</v>
          </cell>
          <cell r="F405">
            <v>5.7999999999999996E-3</v>
          </cell>
          <cell r="G405">
            <v>1046</v>
          </cell>
        </row>
        <row r="406">
          <cell r="B406" t="str">
            <v>302-001261</v>
          </cell>
          <cell r="C406" t="str">
            <v>RAID标卡 9460-16i PCIe3.0X8-4GB Cache</v>
          </cell>
          <cell r="D406" t="str">
            <v>05-50011-00</v>
          </cell>
          <cell r="E406" t="str">
            <v>RAID卡</v>
          </cell>
          <cell r="F406">
            <v>7.7999999999999996E-3</v>
          </cell>
          <cell r="G406">
            <v>40</v>
          </cell>
          <cell r="I406" t="str">
            <v>99-001261</v>
          </cell>
        </row>
        <row r="407">
          <cell r="B407" t="str">
            <v>302-000137</v>
          </cell>
          <cell r="C407" t="str">
            <v>RAID标卡-4GB 9460-16i-PCIe</v>
          </cell>
          <cell r="D407">
            <v>2560008</v>
          </cell>
          <cell r="E407" t="str">
            <v>RAID卡</v>
          </cell>
          <cell r="F407">
            <v>7.7999999999999996E-3</v>
          </cell>
          <cell r="G407">
            <v>0</v>
          </cell>
          <cell r="I407" t="str">
            <v>99-001261</v>
          </cell>
        </row>
        <row r="408">
          <cell r="B408" t="str">
            <v>302-001626</v>
          </cell>
          <cell r="C408" t="str">
            <v>AI卡Atlas 300I Pro x16(HHHL)LPDDR4*24G</v>
          </cell>
          <cell r="D408" t="str">
            <v>02313FSY</v>
          </cell>
          <cell r="E408" t="str">
            <v>AI推理卡</v>
          </cell>
          <cell r="F408">
            <v>6.3E-3</v>
          </cell>
          <cell r="G408">
            <v>192</v>
          </cell>
          <cell r="I408" t="str">
            <v>99-001626</v>
          </cell>
        </row>
        <row r="409">
          <cell r="B409" t="str">
            <v>302-001604</v>
          </cell>
          <cell r="C409" t="str">
            <v>AI卡Atlas 300I Pro x16(HHHL)LPDDR4*24G</v>
          </cell>
          <cell r="D409" t="str">
            <v>02313FUJ</v>
          </cell>
          <cell r="E409" t="str">
            <v>AI推理卡</v>
          </cell>
          <cell r="F409">
            <v>6.3E-3</v>
          </cell>
          <cell r="G409">
            <v>21</v>
          </cell>
          <cell r="I409" t="str">
            <v>99-001626</v>
          </cell>
        </row>
        <row r="410">
          <cell r="B410" t="str">
            <v>302-002384</v>
          </cell>
          <cell r="C410" t="str">
            <v>Atlas 300I Pro-24G-LPDDR4X-72W-SWHHHL</v>
          </cell>
          <cell r="D410" t="str">
            <v>02314MWY</v>
          </cell>
          <cell r="E410" t="str">
            <v>AI推理卡</v>
          </cell>
          <cell r="F410">
            <v>6.3E-3</v>
          </cell>
          <cell r="G410">
            <v>80</v>
          </cell>
          <cell r="I410" t="str">
            <v>99-001626</v>
          </cell>
        </row>
        <row r="411">
          <cell r="B411" t="str">
            <v>302-002558</v>
          </cell>
          <cell r="C411" t="str">
            <v>AI卡Atlas 300IPro x16(HHHL)LPDDR4x*24G-YJ</v>
          </cell>
          <cell r="D411" t="str">
            <v>02314MXN</v>
          </cell>
          <cell r="E411" t="str">
            <v>AI推理卡</v>
          </cell>
          <cell r="F411">
            <v>6.3E-3</v>
          </cell>
          <cell r="G411">
            <v>0</v>
          </cell>
          <cell r="I411" t="str">
            <v>99-001626</v>
          </cell>
        </row>
        <row r="412">
          <cell r="B412" t="str">
            <v>302-000989</v>
          </cell>
          <cell r="C412" t="str">
            <v>SSD D520-3.84T-NVMe3.0-2.5读取YHCY V1.0</v>
          </cell>
          <cell r="D412" t="str">
            <v>P5520DT0384T00</v>
          </cell>
          <cell r="E412" t="str">
            <v>硬盘</v>
          </cell>
          <cell r="F412">
            <v>5.4999999999999997E-3</v>
          </cell>
          <cell r="G412">
            <v>231</v>
          </cell>
          <cell r="I412" t="str">
            <v>99-000989</v>
          </cell>
        </row>
        <row r="413">
          <cell r="B413" t="str">
            <v>302-001156</v>
          </cell>
          <cell r="C413" t="str">
            <v>SSD SM883-3.84T-SATA-6G-2.5读写SX V1.0</v>
          </cell>
          <cell r="D413" t="str">
            <v>MZ7KH3T8HALS-00005</v>
          </cell>
          <cell r="E413" t="str">
            <v>硬盘</v>
          </cell>
          <cell r="F413">
            <v>5.4999999999999997E-3</v>
          </cell>
          <cell r="G413">
            <v>0</v>
          </cell>
          <cell r="I413" t="str">
            <v>99-001156</v>
          </cell>
        </row>
        <row r="414">
          <cell r="B414" t="str">
            <v>302-000343</v>
          </cell>
          <cell r="C414" t="str">
            <v>固态盘-3840GB-SATA6G读写SM883 2.5托 备</v>
          </cell>
          <cell r="D414">
            <v>2550028</v>
          </cell>
          <cell r="E414" t="str">
            <v>硬盘</v>
          </cell>
          <cell r="F414">
            <v>5.4999999999999997E-3</v>
          </cell>
          <cell r="G414">
            <v>0</v>
          </cell>
          <cell r="I414" t="str">
            <v>99-001156</v>
          </cell>
        </row>
        <row r="415">
          <cell r="B415" t="str">
            <v>302-000996</v>
          </cell>
          <cell r="C415" t="str">
            <v>SSD PM983读取-3840G-NVMe 2.5无托</v>
          </cell>
          <cell r="D415" t="str">
            <v>MZQLB3T8HALS-00003</v>
          </cell>
          <cell r="E415" t="str">
            <v>硬盘</v>
          </cell>
          <cell r="F415">
            <v>5.4999999999999997E-3</v>
          </cell>
          <cell r="G415">
            <v>18</v>
          </cell>
          <cell r="I415" t="str">
            <v>99-001183</v>
          </cell>
        </row>
        <row r="416">
          <cell r="B416" t="str">
            <v>302-001183</v>
          </cell>
          <cell r="C416" t="str">
            <v>SSD PM983读取-3.84TB-NVMe 2.5无托</v>
          </cell>
          <cell r="D416" t="str">
            <v>MZQLB3T8HALS-00007</v>
          </cell>
          <cell r="E416" t="str">
            <v>硬盘</v>
          </cell>
          <cell r="F416">
            <v>5.4999999999999997E-3</v>
          </cell>
          <cell r="G416">
            <v>0</v>
          </cell>
          <cell r="I416" t="str">
            <v>99-001183</v>
          </cell>
        </row>
        <row r="417">
          <cell r="B417" t="str">
            <v>302-000523</v>
          </cell>
          <cell r="C417" t="str">
            <v>固态盘-3840G-NVMe 读取PM983 2.5托架</v>
          </cell>
          <cell r="D417">
            <v>2550076</v>
          </cell>
          <cell r="E417" t="str">
            <v>硬盘</v>
          </cell>
          <cell r="F417">
            <v>5.4999999999999997E-3</v>
          </cell>
          <cell r="G417">
            <v>480</v>
          </cell>
          <cell r="I417" t="str">
            <v>99-001183</v>
          </cell>
        </row>
        <row r="418">
          <cell r="B418" t="str">
            <v>302-001335</v>
          </cell>
          <cell r="C418" t="str">
            <v>SSD PM983-3.84TB-NVMe3.0-2.5读取SX V1.0</v>
          </cell>
          <cell r="D418" t="str">
            <v>MZQLB3T8HALS-00007</v>
          </cell>
          <cell r="E418" t="str">
            <v>硬盘</v>
          </cell>
          <cell r="F418">
            <v>5.4999999999999997E-3</v>
          </cell>
          <cell r="G418">
            <v>1350</v>
          </cell>
          <cell r="I418" t="str">
            <v>99-001183</v>
          </cell>
        </row>
        <row r="419">
          <cell r="B419" t="str">
            <v>302-001334</v>
          </cell>
          <cell r="C419" t="str">
            <v>SSD PM983-1.92TB-NVMe3.0-2.5读取SX V1.0</v>
          </cell>
          <cell r="D419" t="str">
            <v>MZQLB1T9HAJR-00007</v>
          </cell>
          <cell r="E419" t="str">
            <v>硬盘</v>
          </cell>
          <cell r="F419">
            <v>5.4999999999999997E-3</v>
          </cell>
          <cell r="G419">
            <v>149</v>
          </cell>
          <cell r="I419" t="str">
            <v>99-000899</v>
          </cell>
        </row>
        <row r="420">
          <cell r="B420" t="str">
            <v>302-001163</v>
          </cell>
          <cell r="C420" t="str">
            <v>硬盘16T-SATA 6Gb/s-7.2K-3.5无托 DZ</v>
          </cell>
          <cell r="D420" t="str">
            <v>MG08ACA16TE</v>
          </cell>
          <cell r="E420" t="str">
            <v>硬盘</v>
          </cell>
          <cell r="F420">
            <v>5.4999999999999997E-3</v>
          </cell>
          <cell r="G420">
            <v>8352</v>
          </cell>
          <cell r="I420" t="str">
            <v>99-001163</v>
          </cell>
        </row>
        <row r="421">
          <cell r="B421" t="str">
            <v>302-000577</v>
          </cell>
          <cell r="C421" t="str">
            <v>S硬盘16T-3.5SATA-6G7.2K-256M-XJ V1.1</v>
          </cell>
          <cell r="D421">
            <v>2540004</v>
          </cell>
          <cell r="E421" t="str">
            <v>硬盘</v>
          </cell>
          <cell r="F421">
            <v>5.4999999999999997E-3</v>
          </cell>
          <cell r="G421">
            <v>9930</v>
          </cell>
          <cell r="I421" t="str">
            <v>99-001163</v>
          </cell>
        </row>
        <row r="422">
          <cell r="B422" t="str">
            <v>302-001239</v>
          </cell>
          <cell r="C422" t="str">
            <v>S硬盘16T-3.5SATA-6G7.2K-256M-XJ V1.0</v>
          </cell>
          <cell r="D422" t="str">
            <v>ST16000NM001G</v>
          </cell>
          <cell r="E422" t="str">
            <v>硬盘</v>
          </cell>
          <cell r="F422">
            <v>5.4999999999999997E-3</v>
          </cell>
          <cell r="G422">
            <v>153</v>
          </cell>
          <cell r="I422" t="str">
            <v>99-001163</v>
          </cell>
        </row>
        <row r="423">
          <cell r="B423" t="str">
            <v>302-001240</v>
          </cell>
          <cell r="C423" t="str">
            <v>S硬盘16T-3.5SATA-6G7.2K-256M-XJ-[AVAP]</v>
          </cell>
          <cell r="D423" t="str">
            <v>ST16000NM000J</v>
          </cell>
          <cell r="E423" t="str">
            <v>硬盘</v>
          </cell>
          <cell r="F423">
            <v>5.4999999999999997E-3</v>
          </cell>
          <cell r="G423">
            <v>23051</v>
          </cell>
          <cell r="I423" t="str">
            <v>99-001163</v>
          </cell>
        </row>
        <row r="424">
          <cell r="B424" t="str">
            <v>302-001243</v>
          </cell>
          <cell r="C424" t="str">
            <v>S硬盘16T-3.5SATA-6G7.2K-512M-XS V1.0</v>
          </cell>
          <cell r="D424" t="str">
            <v>WUH721816ALE6L4</v>
          </cell>
          <cell r="E424" t="str">
            <v>硬盘</v>
          </cell>
          <cell r="F424">
            <v>5.4999999999999997E-3</v>
          </cell>
          <cell r="G424">
            <v>7413</v>
          </cell>
          <cell r="I424" t="str">
            <v>99-001163</v>
          </cell>
        </row>
        <row r="425">
          <cell r="B425" t="str">
            <v>302-002093</v>
          </cell>
          <cell r="C425" t="str">
            <v>S硬盘16T-3.5SATA-6G7.2K-512M-XS V1.1</v>
          </cell>
          <cell r="D425" t="str">
            <v>WUH721816ALE6L4</v>
          </cell>
          <cell r="E425" t="str">
            <v>硬盘</v>
          </cell>
          <cell r="F425">
            <v>5.4999999999999997E-3</v>
          </cell>
          <cell r="G425">
            <v>765</v>
          </cell>
          <cell r="I425" t="str">
            <v>99-001163</v>
          </cell>
        </row>
        <row r="426">
          <cell r="B426" t="str">
            <v>302-000683</v>
          </cell>
          <cell r="C426" t="str">
            <v>916服务器超级电容LSI3108 2GB Cache</v>
          </cell>
          <cell r="D426" t="str">
            <v>02311BNX</v>
          </cell>
          <cell r="E426" t="str">
            <v>超级电容</v>
          </cell>
          <cell r="F426">
            <v>3.2000000000000002E-3</v>
          </cell>
          <cell r="G426">
            <v>1195</v>
          </cell>
        </row>
        <row r="427">
          <cell r="B427" t="str">
            <v>302-000686</v>
          </cell>
          <cell r="C427" t="str">
            <v>RAID扣卡 SR430C(LSI3108)-2GB Cache</v>
          </cell>
          <cell r="D427" t="str">
            <v>02311UCA</v>
          </cell>
          <cell r="E427" t="str">
            <v>RAID卡</v>
          </cell>
          <cell r="F427">
            <v>7.7999999999999996E-3</v>
          </cell>
          <cell r="G427">
            <v>492</v>
          </cell>
          <cell r="I427" t="str">
            <v>99-000686</v>
          </cell>
        </row>
        <row r="428">
          <cell r="B428" t="str">
            <v>302-001642</v>
          </cell>
          <cell r="C428" t="str">
            <v>RAID扣卡 SR430C(LSI3108)-2GB-BC1M09ESMT</v>
          </cell>
          <cell r="D428" t="str">
            <v>02560057</v>
          </cell>
          <cell r="E428" t="str">
            <v>RAID卡</v>
          </cell>
          <cell r="F428">
            <v>7.7999999999999996E-3</v>
          </cell>
          <cell r="G428">
            <v>705</v>
          </cell>
          <cell r="I428" t="str">
            <v>99-000686</v>
          </cell>
        </row>
        <row r="429">
          <cell r="B429" t="str">
            <v>302-000424</v>
          </cell>
          <cell r="C429" t="str">
            <v>电源模块备件HVDC1500WB</v>
          </cell>
          <cell r="D429" t="str">
            <v>02312DEQ</v>
          </cell>
          <cell r="E429" t="str">
            <v>电源</v>
          </cell>
          <cell r="F429">
            <v>5.0000000000000001E-3</v>
          </cell>
          <cell r="G429">
            <v>1945</v>
          </cell>
        </row>
        <row r="430">
          <cell r="B430" t="str">
            <v>302-000043</v>
          </cell>
          <cell r="C430" t="str">
            <v>固态盘-960G-SATA SM883 2.5及托架</v>
          </cell>
          <cell r="D430" t="str">
            <v>02312VXA</v>
          </cell>
          <cell r="E430" t="str">
            <v>硬盘</v>
          </cell>
          <cell r="F430">
            <v>5.4999999999999997E-3</v>
          </cell>
          <cell r="G430">
            <v>18</v>
          </cell>
          <cell r="I430" t="str">
            <v>99-000043</v>
          </cell>
        </row>
        <row r="431">
          <cell r="B431" t="str">
            <v>302-001376</v>
          </cell>
          <cell r="C431" t="str">
            <v>SSD SM883读写-960G-SATA 2.5无托</v>
          </cell>
          <cell r="D431" t="str">
            <v>MZ7KH960HAJR-00005</v>
          </cell>
          <cell r="E431" t="str">
            <v>硬盘</v>
          </cell>
          <cell r="F431">
            <v>5.4999999999999997E-3</v>
          </cell>
          <cell r="G431">
            <v>1348</v>
          </cell>
          <cell r="I431" t="str">
            <v>99-000043</v>
          </cell>
        </row>
        <row r="432">
          <cell r="B432" t="str">
            <v>302-001158</v>
          </cell>
          <cell r="C432" t="str">
            <v>SSD SM883-960G-SATA-6G-2.5读写SX V1.0</v>
          </cell>
          <cell r="D432" t="str">
            <v>MZ7KH960HAJR-00005</v>
          </cell>
          <cell r="E432" t="str">
            <v>硬盘</v>
          </cell>
          <cell r="F432">
            <v>5.4999999999999997E-3</v>
          </cell>
          <cell r="G432">
            <v>4</v>
          </cell>
          <cell r="I432" t="str">
            <v>99-000043</v>
          </cell>
        </row>
        <row r="433">
          <cell r="B433" t="str">
            <v>302-000230</v>
          </cell>
          <cell r="C433" t="str">
            <v>固态盘 SSDSC2KG960G801(S4610 960G)</v>
          </cell>
          <cell r="D433" t="str">
            <v>SSDSC2KG960G801</v>
          </cell>
          <cell r="E433" t="str">
            <v>硬盘</v>
          </cell>
          <cell r="F433">
            <v>5.4999999999999997E-3</v>
          </cell>
          <cell r="G433">
            <v>2</v>
          </cell>
          <cell r="I433" t="str">
            <v>99-000043</v>
          </cell>
        </row>
        <row r="434">
          <cell r="B434" t="str">
            <v>302-000681</v>
          </cell>
          <cell r="C434" t="str">
            <v>916服务器3*8X RISER卡组件</v>
          </cell>
          <cell r="D434">
            <v>2580129</v>
          </cell>
          <cell r="E434" t="str">
            <v>Riser模组</v>
          </cell>
          <cell r="F434">
            <v>5.0000000000000001E-3</v>
          </cell>
          <cell r="G434">
            <v>672</v>
          </cell>
        </row>
        <row r="435">
          <cell r="B435" t="str">
            <v>302-000242</v>
          </cell>
          <cell r="C435" t="str">
            <v>高速电缆Mini SAS HD 4i 0.55m</v>
          </cell>
          <cell r="D435" t="str">
            <v>04051059-002</v>
          </cell>
          <cell r="E435" t="str">
            <v>线缆</v>
          </cell>
          <cell r="F435">
            <v>2E-3</v>
          </cell>
          <cell r="G435">
            <v>77</v>
          </cell>
        </row>
        <row r="436">
          <cell r="B436" t="str">
            <v>302-000961</v>
          </cell>
          <cell r="C436" t="str">
            <v>S内存DDR4-32GB-2933-2Rank(2G*8bit) SX</v>
          </cell>
          <cell r="D436" t="str">
            <v>M393A4G43AB3-CVF</v>
          </cell>
          <cell r="E436" t="str">
            <v>内存</v>
          </cell>
          <cell r="F436">
            <v>2E-3</v>
          </cell>
          <cell r="G436">
            <v>4492</v>
          </cell>
          <cell r="I436" t="str">
            <v>99-000961</v>
          </cell>
        </row>
        <row r="437">
          <cell r="B437" t="str">
            <v>302-000556</v>
          </cell>
          <cell r="C437" t="str">
            <v>S内存DDR4-32GB-2933-2Rank(2G*8bit) SX</v>
          </cell>
          <cell r="D437">
            <v>2510006</v>
          </cell>
          <cell r="E437" t="str">
            <v>内存</v>
          </cell>
          <cell r="F437">
            <v>2E-3</v>
          </cell>
          <cell r="G437">
            <v>0</v>
          </cell>
          <cell r="I437" t="str">
            <v>99-000961</v>
          </cell>
        </row>
        <row r="438">
          <cell r="B438" t="str">
            <v>302-000689</v>
          </cell>
          <cell r="C438" t="str">
            <v>916服务器2*2.5"后置硬盘背板组件</v>
          </cell>
          <cell r="D438">
            <v>2580134</v>
          </cell>
          <cell r="E438" t="str">
            <v>后置硬盘背板</v>
          </cell>
          <cell r="F438">
            <v>2.8999999999999998E-3</v>
          </cell>
          <cell r="G438">
            <v>479</v>
          </cell>
        </row>
        <row r="439">
          <cell r="B439" t="str">
            <v>302-000694</v>
          </cell>
          <cell r="C439" t="str">
            <v>916服务器-1200W 交流电源模块备件</v>
          </cell>
          <cell r="D439" t="str">
            <v>02312HEG</v>
          </cell>
          <cell r="E439" t="str">
            <v>电源</v>
          </cell>
          <cell r="F439">
            <v>5.0000000000000001E-3</v>
          </cell>
          <cell r="G439">
            <v>69</v>
          </cell>
          <cell r="I439" t="str">
            <v>99-001310</v>
          </cell>
        </row>
        <row r="440">
          <cell r="B440" t="str">
            <v>302-001310</v>
          </cell>
          <cell r="C440" t="str">
            <v>1200W白金交流电源模块</v>
          </cell>
          <cell r="D440">
            <v>2131348</v>
          </cell>
          <cell r="E440" t="str">
            <v>电源</v>
          </cell>
          <cell r="F440">
            <v>5.0000000000000001E-3</v>
          </cell>
          <cell r="G440">
            <v>134</v>
          </cell>
          <cell r="I440" t="str">
            <v>99-001310</v>
          </cell>
        </row>
        <row r="441">
          <cell r="B441" t="str">
            <v>302-000999</v>
          </cell>
          <cell r="C441" t="str">
            <v>RAID标卡Avago3516 4GB Cache-全高半长</v>
          </cell>
          <cell r="D441" t="str">
            <v>02313CYV</v>
          </cell>
          <cell r="E441" t="str">
            <v>RAID卡</v>
          </cell>
          <cell r="F441">
            <v>7.7999999999999996E-3</v>
          </cell>
          <cell r="G441">
            <v>239</v>
          </cell>
          <cell r="I441" t="str">
            <v>99-000999</v>
          </cell>
        </row>
        <row r="442">
          <cell r="B442" t="str">
            <v>302-001194</v>
          </cell>
          <cell r="C442" t="str">
            <v>RAID标卡Avago3516 4GB Cache-全高半长 4U</v>
          </cell>
          <cell r="D442" t="str">
            <v>02313MJE</v>
          </cell>
          <cell r="E442" t="str">
            <v>RAID卡</v>
          </cell>
          <cell r="F442">
            <v>7.7999999999999996E-3</v>
          </cell>
          <cell r="G442">
            <v>162</v>
          </cell>
          <cell r="I442" t="str">
            <v>99-000999</v>
          </cell>
        </row>
        <row r="443">
          <cell r="B443" t="str">
            <v>302-001333</v>
          </cell>
          <cell r="C443" t="str">
            <v>SSD P4610-3.2T-NVMe3.0-2.5读写YTL V1.0</v>
          </cell>
          <cell r="D443" t="str">
            <v>SSDPE2KE032T801</v>
          </cell>
          <cell r="E443" t="str">
            <v>硬盘</v>
          </cell>
          <cell r="F443">
            <v>5.4999999999999997E-3</v>
          </cell>
          <cell r="G443">
            <v>649</v>
          </cell>
          <cell r="I443" t="str">
            <v>99-001129</v>
          </cell>
        </row>
        <row r="444">
          <cell r="B444" t="str">
            <v>302-001129</v>
          </cell>
          <cell r="C444" t="str">
            <v>SSD P4610读写-3.2TB-NVMe 2.5无托U.2</v>
          </cell>
          <cell r="D444" t="str">
            <v>SSDPE2KE032T801</v>
          </cell>
          <cell r="E444" t="str">
            <v>硬盘</v>
          </cell>
          <cell r="F444">
            <v>5.4999999999999997E-3</v>
          </cell>
          <cell r="G444">
            <v>78</v>
          </cell>
          <cell r="I444" t="str">
            <v>99-001129</v>
          </cell>
        </row>
        <row r="445">
          <cell r="B445" t="str">
            <v>302-001328</v>
          </cell>
          <cell r="C445" t="str">
            <v>SSD PM983读取-960G-NVMe 2.5无托</v>
          </cell>
          <cell r="D445" t="str">
            <v>MZQLB960HAJR-00007</v>
          </cell>
          <cell r="E445" t="str">
            <v>硬盘</v>
          </cell>
          <cell r="F445">
            <v>5.4999999999999997E-3</v>
          </cell>
          <cell r="G445">
            <v>730</v>
          </cell>
          <cell r="I445" t="str">
            <v>99-002108</v>
          </cell>
        </row>
        <row r="446">
          <cell r="B446" t="str">
            <v>302-001201</v>
          </cell>
          <cell r="C446" t="str">
            <v>#S主板S920X00-2*5250(48C@2.6)-AR-1711-3A</v>
          </cell>
          <cell r="D446" t="str">
            <v>03050EMM</v>
          </cell>
          <cell r="E446" t="str">
            <v>主板</v>
          </cell>
          <cell r="F446">
            <v>8.5000000000000006E-3</v>
          </cell>
          <cell r="G446">
            <v>360</v>
          </cell>
          <cell r="I446" t="str">
            <v>99-000711</v>
          </cell>
        </row>
        <row r="447">
          <cell r="B447" t="str">
            <v>302-001200</v>
          </cell>
          <cell r="C447" t="str">
            <v>1U2P机箱 10*2.5支持8SAS(4NVMe)-RAID-5250</v>
          </cell>
          <cell r="D447" t="str">
            <v>02313RRJ</v>
          </cell>
          <cell r="E447" t="str">
            <v>机箱/硬盘背板</v>
          </cell>
          <cell r="F447">
            <v>2.8999999999999998E-3</v>
          </cell>
          <cell r="G447">
            <v>360</v>
          </cell>
        </row>
        <row r="448">
          <cell r="B448" t="str">
            <v>302-000511</v>
          </cell>
          <cell r="C448" t="str">
            <v>S电源线3.0m-高压直流直母-227IEC53(RVV)1.0mm^2(3C)</v>
          </cell>
          <cell r="D448" t="str">
            <v>04151188-002</v>
          </cell>
          <cell r="E448" t="str">
            <v>电源线</v>
          </cell>
          <cell r="F448">
            <v>2E-3</v>
          </cell>
          <cell r="G448">
            <v>2487</v>
          </cell>
        </row>
        <row r="449">
          <cell r="B449" t="str">
            <v>302-000426</v>
          </cell>
          <cell r="C449" t="str">
            <v>#S主板S920X02-4*7260(64C@2.6)-AD-1711</v>
          </cell>
          <cell r="D449" t="str">
            <v>03050BTX</v>
          </cell>
          <cell r="E449" t="str">
            <v>主板</v>
          </cell>
          <cell r="F449">
            <v>8.5000000000000006E-3</v>
          </cell>
          <cell r="G449">
            <v>198</v>
          </cell>
          <cell r="I449" t="str">
            <v>99-000426</v>
          </cell>
        </row>
        <row r="450">
          <cell r="B450" t="str">
            <v>302-001350</v>
          </cell>
          <cell r="C450" t="str">
            <v>#S主板S920X02-4*7260(64C@2.6)-AF-1711-3A</v>
          </cell>
          <cell r="D450" t="str">
            <v>03050FND</v>
          </cell>
          <cell r="E450" t="str">
            <v>主板</v>
          </cell>
          <cell r="F450">
            <v>8.5000000000000006E-3</v>
          </cell>
          <cell r="G450">
            <v>1030</v>
          </cell>
          <cell r="I450" t="str">
            <v>99-000426</v>
          </cell>
        </row>
        <row r="451">
          <cell r="B451" t="str">
            <v>302-001511</v>
          </cell>
          <cell r="C451" t="str">
            <v>S内存DDR4-16G-3200-2Rx8-RD HLS V1.0</v>
          </cell>
          <cell r="D451">
            <v>2510031</v>
          </cell>
          <cell r="E451" t="str">
            <v>内存</v>
          </cell>
          <cell r="F451">
            <v>2E-3</v>
          </cell>
          <cell r="G451">
            <v>412</v>
          </cell>
        </row>
        <row r="452">
          <cell r="B452" t="str">
            <v>302-000420</v>
          </cell>
          <cell r="C452" t="str">
            <v>2U4P机箱 8*2.5标准白牌,不支持GPU,K24R-02</v>
          </cell>
          <cell r="D452" t="str">
            <v>02313FDM</v>
          </cell>
          <cell r="E452" t="str">
            <v>机箱/硬盘背板</v>
          </cell>
          <cell r="F452">
            <v>2.8999999999999998E-3</v>
          </cell>
          <cell r="G452">
            <v>3235</v>
          </cell>
          <cell r="I452" t="str">
            <v>88-000495</v>
          </cell>
        </row>
        <row r="453">
          <cell r="B453" t="str">
            <v>302-001637</v>
          </cell>
          <cell r="C453" t="str">
            <v>R622服务器12*3.5EXP机箱-无挂耳</v>
          </cell>
          <cell r="D453" t="str">
            <v>R622-12*3.5EXP-L5</v>
          </cell>
          <cell r="E453" t="str">
            <v>机箱/硬盘背板</v>
          </cell>
          <cell r="F453">
            <v>2.8999999999999998E-3</v>
          </cell>
          <cell r="G453">
            <v>9</v>
          </cell>
          <cell r="I453" t="str">
            <v>88-000495</v>
          </cell>
        </row>
        <row r="454">
          <cell r="B454" t="str">
            <v>302-000505</v>
          </cell>
          <cell r="C454" t="str">
            <v>机箱 8*2.5硬盘 2U,K22R-02</v>
          </cell>
          <cell r="D454" t="str">
            <v>02313FJF</v>
          </cell>
          <cell r="E454" t="str">
            <v>机箱/硬盘背板</v>
          </cell>
          <cell r="F454">
            <v>2.8999999999999998E-3</v>
          </cell>
          <cell r="G454">
            <v>130</v>
          </cell>
          <cell r="I454" t="str">
            <v>88-000495</v>
          </cell>
        </row>
        <row r="455">
          <cell r="B455" t="str">
            <v>302-001693</v>
          </cell>
          <cell r="C455" t="str">
            <v>机箱 8*2.5硬盘 2U2P-无RAID SAS线</v>
          </cell>
          <cell r="D455" t="str">
            <v>02314CRA</v>
          </cell>
          <cell r="E455" t="str">
            <v>机箱/硬盘背板</v>
          </cell>
          <cell r="F455">
            <v>2.8999999999999998E-3</v>
          </cell>
          <cell r="G455">
            <v>3457</v>
          </cell>
          <cell r="I455" t="str">
            <v>88-000495</v>
          </cell>
        </row>
        <row r="456">
          <cell r="B456" t="str">
            <v>302-000495</v>
          </cell>
          <cell r="C456" t="str">
            <v>背板-8*2.5盘</v>
          </cell>
          <cell r="D456" t="str">
            <v>03026VRB</v>
          </cell>
          <cell r="E456" t="str">
            <v>机箱/硬盘背板</v>
          </cell>
          <cell r="F456">
            <v>2.8999999999999998E-3</v>
          </cell>
          <cell r="G456">
            <v>0</v>
          </cell>
          <cell r="I456" t="str">
            <v>88-000495</v>
          </cell>
        </row>
        <row r="457">
          <cell r="B457" t="str">
            <v>302-001689</v>
          </cell>
          <cell r="C457" t="str">
            <v>机箱 8*2.5硬盘 2U2P直通-无RAID SAS线1620S</v>
          </cell>
          <cell r="D457" t="str">
            <v>02314CRC</v>
          </cell>
          <cell r="E457" t="str">
            <v>机箱/硬盘背板</v>
          </cell>
          <cell r="F457">
            <v>2.8999999999999998E-3</v>
          </cell>
          <cell r="G457">
            <v>577</v>
          </cell>
          <cell r="I457" t="str">
            <v>88-000495</v>
          </cell>
        </row>
        <row r="458">
          <cell r="B458" t="str">
            <v>302-001131</v>
          </cell>
          <cell r="C458" t="str">
            <v>2U2P机箱 8*2.5"直通 K22R-02 支持3.0G</v>
          </cell>
          <cell r="D458" t="str">
            <v>02313FKM</v>
          </cell>
          <cell r="E458" t="str">
            <v>机箱/硬盘背板</v>
          </cell>
          <cell r="F458">
            <v>2.8999999999999998E-3</v>
          </cell>
          <cell r="G458">
            <v>476</v>
          </cell>
          <cell r="I458" t="str">
            <v>88-000495</v>
          </cell>
        </row>
        <row r="459">
          <cell r="B459" t="str">
            <v>302-002062</v>
          </cell>
          <cell r="C459" t="str">
            <v>SSD PM9A3-3.84TB-NVMe4.0-2.5读取SX V1.0</v>
          </cell>
          <cell r="D459" t="str">
            <v>MZQL23T8HCLS-00B7C</v>
          </cell>
          <cell r="E459" t="str">
            <v>硬盘</v>
          </cell>
          <cell r="F459">
            <v>5.4999999999999997E-3</v>
          </cell>
          <cell r="G459">
            <v>8051</v>
          </cell>
          <cell r="I459" t="str">
            <v>99-002062</v>
          </cell>
        </row>
        <row r="460">
          <cell r="B460" t="str">
            <v>302-001299</v>
          </cell>
          <cell r="C460" t="str">
            <v>制式电源线-交流250V10A-1.2m-(C13直母)黄</v>
          </cell>
          <cell r="D460">
            <v>2022602</v>
          </cell>
          <cell r="E460" t="str">
            <v>电源线</v>
          </cell>
          <cell r="F460">
            <v>2E-3</v>
          </cell>
          <cell r="G460">
            <v>588</v>
          </cell>
        </row>
        <row r="461">
          <cell r="B461" t="str">
            <v>302-001004</v>
          </cell>
          <cell r="C461" t="str">
            <v>S主板S920X00-5255 2*920,3.0GHz 48C 1711</v>
          </cell>
          <cell r="D461" t="str">
            <v>03050CRV</v>
          </cell>
          <cell r="E461" t="str">
            <v>主板</v>
          </cell>
          <cell r="F461">
            <v>8.5000000000000006E-3</v>
          </cell>
          <cell r="G461">
            <v>1</v>
          </cell>
          <cell r="I461" t="str">
            <v>99-001004</v>
          </cell>
        </row>
        <row r="462">
          <cell r="B462" t="str">
            <v>302-000685</v>
          </cell>
          <cell r="C462" t="str">
            <v>916服务器超级电容LSI3108 1GB Cache</v>
          </cell>
          <cell r="D462" t="str">
            <v>02310YMJ</v>
          </cell>
          <cell r="E462" t="str">
            <v>超级电容</v>
          </cell>
          <cell r="F462">
            <v>3.2000000000000002E-3</v>
          </cell>
          <cell r="G462">
            <v>1</v>
          </cell>
        </row>
        <row r="463">
          <cell r="B463" t="str">
            <v>302-001057</v>
          </cell>
          <cell r="C463" t="str">
            <v>S内存DDR4-64G-3200-2Rx4-RD ZG V1.0</v>
          </cell>
          <cell r="D463" t="str">
            <v>SCC64GP12H2F1C-32A</v>
          </cell>
          <cell r="E463" t="str">
            <v>内存</v>
          </cell>
          <cell r="F463">
            <v>2E-3</v>
          </cell>
          <cell r="G463">
            <v>2711</v>
          </cell>
        </row>
        <row r="464">
          <cell r="B464" t="str">
            <v>302-001942</v>
          </cell>
          <cell r="C464" t="str">
            <v>SSD DSS200B-3.84T-SATA 6Gb-2.5-读密集 DT</v>
          </cell>
          <cell r="D464" t="str">
            <v>DSS200-B K5 3.84TB</v>
          </cell>
          <cell r="E464" t="str">
            <v>硬盘</v>
          </cell>
          <cell r="F464">
            <v>5.4999999999999997E-3</v>
          </cell>
          <cell r="G464">
            <v>0</v>
          </cell>
          <cell r="I464" t="str">
            <v>99-000864</v>
          </cell>
        </row>
        <row r="465">
          <cell r="B465" t="str">
            <v>302-001120</v>
          </cell>
          <cell r="C465" t="str">
            <v>SSD UH830a-6.4TB-NVMe4.0-2.5读写YL V1.0</v>
          </cell>
          <cell r="D465" t="str">
            <v>RP2006T4RK004VX</v>
          </cell>
          <cell r="E465" t="str">
            <v>硬盘</v>
          </cell>
          <cell r="F465">
            <v>5.4999999999999997E-3</v>
          </cell>
          <cell r="G465">
            <v>343</v>
          </cell>
          <cell r="I465" t="str">
            <v>99-002091</v>
          </cell>
        </row>
        <row r="466">
          <cell r="B466" t="str">
            <v>302-001870</v>
          </cell>
          <cell r="C466" t="str">
            <v>S电源线PDU欧标-C14直公-C13直母-250V10A-5.0m黑-交流</v>
          </cell>
          <cell r="D466" t="str">
            <v>RD01-S2208005-002</v>
          </cell>
          <cell r="E466" t="str">
            <v>电源线</v>
          </cell>
          <cell r="F466">
            <v>2E-3</v>
          </cell>
          <cell r="G466">
            <v>71</v>
          </cell>
        </row>
        <row r="467">
          <cell r="B467" t="str">
            <v>302-001555</v>
          </cell>
          <cell r="C467" t="str">
            <v>S916X00 2* (鲲鹏916,32C,8DIMM)</v>
          </cell>
          <cell r="D467" t="str">
            <v>03024APL</v>
          </cell>
          <cell r="E467" t="str">
            <v>主板</v>
          </cell>
          <cell r="F467">
            <v>8.5000000000000006E-3</v>
          </cell>
          <cell r="G467">
            <v>1220</v>
          </cell>
        </row>
        <row r="468">
          <cell r="B468" t="str">
            <v>302-001279</v>
          </cell>
          <cell r="C468" t="str">
            <v>网卡Hi1822 25GE/10GE四口SFP+</v>
          </cell>
          <cell r="D468" t="str">
            <v>02312NGD</v>
          </cell>
          <cell r="E468" t="str">
            <v>网卡</v>
          </cell>
          <cell r="F468">
            <v>5.7999999999999996E-3</v>
          </cell>
          <cell r="G468">
            <v>390</v>
          </cell>
          <cell r="I468" t="str">
            <v>99-000157</v>
          </cell>
        </row>
        <row r="469">
          <cell r="B469" t="str">
            <v>302-000157</v>
          </cell>
          <cell r="C469" t="str">
            <v>网卡25GE/10GE四口SFP+全高HHHLx16</v>
          </cell>
          <cell r="D469" t="str">
            <v>02312NGD</v>
          </cell>
          <cell r="E469" t="str">
            <v>网卡</v>
          </cell>
          <cell r="F469">
            <v>5.7999999999999996E-3</v>
          </cell>
          <cell r="G469">
            <v>1302</v>
          </cell>
          <cell r="I469" t="str">
            <v>99-000157</v>
          </cell>
        </row>
        <row r="470">
          <cell r="B470" t="str">
            <v>302-001140</v>
          </cell>
          <cell r="C470" t="str">
            <v>2U4P机箱 25*2.5"EXP K24R-02</v>
          </cell>
          <cell r="D470" t="str">
            <v>02313KSJ</v>
          </cell>
          <cell r="E470" t="str">
            <v>机箱/硬盘背板</v>
          </cell>
          <cell r="F470">
            <v>2.8999999999999998E-3</v>
          </cell>
          <cell r="G470">
            <v>531</v>
          </cell>
          <cell r="I470" t="str">
            <v>88-001775</v>
          </cell>
        </row>
        <row r="471">
          <cell r="B471" t="str">
            <v>302-001775</v>
          </cell>
          <cell r="C471" t="str">
            <v>25*2.5寸EXP硬盘背板</v>
          </cell>
          <cell r="D471" t="str">
            <v>03029EUT</v>
          </cell>
          <cell r="E471" t="str">
            <v>机箱/硬盘背板</v>
          </cell>
          <cell r="F471">
            <v>2.8999999999999998E-3</v>
          </cell>
          <cell r="G471">
            <v>0</v>
          </cell>
          <cell r="I471" t="str">
            <v>88-001775</v>
          </cell>
        </row>
        <row r="472">
          <cell r="B472" t="str">
            <v>302-001686</v>
          </cell>
          <cell r="C472" t="str">
            <v>机箱 25*2.5硬盘EXP 2U4P-无RAID SAS线</v>
          </cell>
          <cell r="D472" t="str">
            <v>02314CQX</v>
          </cell>
          <cell r="E472" t="str">
            <v>机箱/硬盘背板</v>
          </cell>
          <cell r="F472">
            <v>2.8999999999999998E-3</v>
          </cell>
          <cell r="G472">
            <v>225</v>
          </cell>
          <cell r="I472" t="str">
            <v>88-001775</v>
          </cell>
        </row>
        <row r="473">
          <cell r="B473" t="str">
            <v>302-001192</v>
          </cell>
          <cell r="C473" t="str">
            <v>服务器直流电源-68mm-1200W-风冷(含电源线)</v>
          </cell>
          <cell r="D473" t="str">
            <v>02313HCD</v>
          </cell>
          <cell r="E473" t="str">
            <v>电源</v>
          </cell>
          <cell r="F473">
            <v>5.0000000000000001E-3</v>
          </cell>
          <cell r="G473">
            <v>8</v>
          </cell>
          <cell r="I473" t="str">
            <v>99-000417</v>
          </cell>
        </row>
        <row r="474">
          <cell r="B474" t="str">
            <v>302-002543</v>
          </cell>
          <cell r="C474" t="str">
            <v>SSD ES3500S V6-3.84T-SAS 12Gb/s-2.5托读取HW</v>
          </cell>
          <cell r="D474" t="str">
            <v>HIU2EBS097</v>
          </cell>
          <cell r="E474" t="str">
            <v>硬盘</v>
          </cell>
          <cell r="F474">
            <v>5.4999999999999997E-3</v>
          </cell>
          <cell r="G474">
            <v>602</v>
          </cell>
          <cell r="I474" t="str">
            <v>99-000083</v>
          </cell>
        </row>
        <row r="475">
          <cell r="B475" t="str">
            <v>302-001139</v>
          </cell>
          <cell r="C475" t="str">
            <v>S主板920X02K-5251K 4*(920,48C),4*GE</v>
          </cell>
          <cell r="D475" t="str">
            <v>03050ELP</v>
          </cell>
          <cell r="E475" t="str">
            <v>主板</v>
          </cell>
          <cell r="F475">
            <v>8.5000000000000006E-3</v>
          </cell>
          <cell r="G475">
            <v>66</v>
          </cell>
        </row>
        <row r="476">
          <cell r="B476" t="str">
            <v>302-001583</v>
          </cell>
          <cell r="C476" t="str">
            <v>电源电缆-PD-012+53RVV3*1.0mm2品字尾 黄色</v>
          </cell>
          <cell r="D476" t="str">
            <v>PD-012+PD-032 黄</v>
          </cell>
          <cell r="E476" t="str">
            <v>电源线</v>
          </cell>
          <cell r="F476">
            <v>2E-3</v>
          </cell>
          <cell r="G476">
            <v>671</v>
          </cell>
        </row>
        <row r="477">
          <cell r="B477" t="str">
            <v>302-000154</v>
          </cell>
          <cell r="C477" t="str">
            <v>Riser3模组 2*16X SLOT (PCIE X8)DMINI</v>
          </cell>
          <cell r="D477">
            <v>2580054</v>
          </cell>
          <cell r="E477" t="str">
            <v>Riser模组</v>
          </cell>
          <cell r="F477">
            <v>5.0000000000000001E-3</v>
          </cell>
          <cell r="G477">
            <v>35</v>
          </cell>
        </row>
        <row r="478">
          <cell r="B478" t="str">
            <v>302-000862</v>
          </cell>
          <cell r="C478" t="str">
            <v>S主板S920X05-5250-AN 2*(48Core@2.6GHz)</v>
          </cell>
          <cell r="D478" t="str">
            <v>03050CLN</v>
          </cell>
          <cell r="E478" t="str">
            <v>主板</v>
          </cell>
          <cell r="F478">
            <v>8.5000000000000006E-3</v>
          </cell>
          <cell r="G478">
            <v>9</v>
          </cell>
        </row>
        <row r="479">
          <cell r="B479" t="str">
            <v>302-000852</v>
          </cell>
          <cell r="C479" t="str">
            <v>2*16X SLOT(PCIE X16+X8)-RISER1&amp;2卡-R62X</v>
          </cell>
          <cell r="D479" t="str">
            <v>02313GYC</v>
          </cell>
          <cell r="E479" t="str">
            <v>Riser模组</v>
          </cell>
          <cell r="F479">
            <v>5.0000000000000001E-3</v>
          </cell>
          <cell r="G479">
            <v>18</v>
          </cell>
        </row>
        <row r="480">
          <cell r="B480" t="str">
            <v>302-001549</v>
          </cell>
          <cell r="C480" t="str">
            <v>3*16X SLOT(PCIE X8)DMINI RISER1&amp;2卡-A722</v>
          </cell>
          <cell r="D480" t="str">
            <v>02312QJV</v>
          </cell>
          <cell r="E480" t="str">
            <v>Riser模组</v>
          </cell>
          <cell r="F480">
            <v>5.0000000000000001E-3</v>
          </cell>
          <cell r="G480">
            <v>33</v>
          </cell>
          <cell r="I480" t="str">
            <v>99-001549</v>
          </cell>
        </row>
        <row r="481">
          <cell r="B481" t="str">
            <v>302-001627</v>
          </cell>
          <cell r="C481" t="str">
            <v>S内存DDR4-32GB-3200-2Rank(2G*4bit) HLS</v>
          </cell>
          <cell r="D481">
            <v>2510049</v>
          </cell>
          <cell r="E481" t="str">
            <v>内存</v>
          </cell>
          <cell r="F481">
            <v>2E-3</v>
          </cell>
          <cell r="G481">
            <v>113681</v>
          </cell>
          <cell r="I481" t="str">
            <v>99-001627</v>
          </cell>
        </row>
        <row r="482">
          <cell r="B482" t="str">
            <v>302-001644</v>
          </cell>
          <cell r="C482" t="str">
            <v>S内存DDR4-32G-3200-2Rx4-RD HLS V1.0</v>
          </cell>
          <cell r="D482" t="str">
            <v>99013VWT</v>
          </cell>
          <cell r="E482" t="str">
            <v>内存</v>
          </cell>
          <cell r="F482">
            <v>2E-3</v>
          </cell>
          <cell r="G482">
            <v>636323</v>
          </cell>
          <cell r="I482" t="str">
            <v>99-001627</v>
          </cell>
        </row>
        <row r="483">
          <cell r="B483" t="str">
            <v>302-001152</v>
          </cell>
          <cell r="C483" t="str">
            <v>RAID标卡SmartRAID 3152-8i 2GB含btry</v>
          </cell>
          <cell r="D483" t="str">
            <v>02312USW</v>
          </cell>
          <cell r="E483" t="str">
            <v>RAID卡</v>
          </cell>
          <cell r="F483">
            <v>7.7999999999999996E-3</v>
          </cell>
          <cell r="G483">
            <v>12</v>
          </cell>
          <cell r="I483" t="str">
            <v>99-000139</v>
          </cell>
        </row>
        <row r="484">
          <cell r="B484" t="str">
            <v>302-001286</v>
          </cell>
          <cell r="C484" t="str">
            <v>2*16X SLOT (PCIE X8) Riser3卡-A222</v>
          </cell>
          <cell r="D484" t="str">
            <v>02313AGR</v>
          </cell>
          <cell r="E484" t="str">
            <v>Riser模组</v>
          </cell>
          <cell r="F484">
            <v>5.0000000000000001E-3</v>
          </cell>
          <cell r="G484">
            <v>561</v>
          </cell>
          <cell r="I484" t="str">
            <v>99-001286</v>
          </cell>
        </row>
        <row r="485">
          <cell r="B485" t="str">
            <v>302-001287</v>
          </cell>
          <cell r="C485" t="str">
            <v>3*16X SLOT (PCIe x8) Riser1卡-A222</v>
          </cell>
          <cell r="D485" t="str">
            <v>02313AGT</v>
          </cell>
          <cell r="E485" t="str">
            <v>Riser模组</v>
          </cell>
          <cell r="F485">
            <v>5.0000000000000001E-3</v>
          </cell>
          <cell r="G485">
            <v>559</v>
          </cell>
          <cell r="I485" t="str">
            <v>99-001287</v>
          </cell>
        </row>
        <row r="486">
          <cell r="B486" t="str">
            <v>302-001291</v>
          </cell>
          <cell r="C486" t="str">
            <v>S主板 S920S03-3210 1*(920,24C)</v>
          </cell>
          <cell r="D486" t="str">
            <v>03027QHX</v>
          </cell>
          <cell r="E486" t="str">
            <v>主板</v>
          </cell>
          <cell r="F486">
            <v>8.5000000000000006E-3</v>
          </cell>
          <cell r="G486">
            <v>9</v>
          </cell>
          <cell r="I486" t="str">
            <v>99-001291</v>
          </cell>
        </row>
        <row r="487">
          <cell r="B487" t="str">
            <v>302-001858</v>
          </cell>
          <cell r="C487" t="str">
            <v>S主板 S920S03-3210 1*(920,24C@2.6GHz)</v>
          </cell>
          <cell r="D487" t="str">
            <v>03028TVP</v>
          </cell>
          <cell r="E487" t="str">
            <v>主板</v>
          </cell>
          <cell r="F487">
            <v>8.5000000000000006E-3</v>
          </cell>
          <cell r="G487">
            <v>530</v>
          </cell>
          <cell r="I487" t="str">
            <v>99-001291</v>
          </cell>
        </row>
        <row r="488">
          <cell r="B488" t="str">
            <v>302-001349</v>
          </cell>
          <cell r="C488" t="str">
            <v>SSD ES3521AV6-960G-SATA-6G-2.5读取HW V1.0</v>
          </cell>
          <cell r="D488" t="str">
            <v>02550438/03034BBR</v>
          </cell>
          <cell r="E488" t="str">
            <v>硬盘</v>
          </cell>
          <cell r="F488">
            <v>5.4999999999999997E-3</v>
          </cell>
          <cell r="G488">
            <v>54712</v>
          </cell>
          <cell r="I488" t="str">
            <v>99-001349</v>
          </cell>
        </row>
        <row r="489">
          <cell r="B489" t="str">
            <v>302-001352</v>
          </cell>
          <cell r="C489" t="str">
            <v>SSD ES3521A V6读取-960G-SATA 2.5(3.5托)</v>
          </cell>
          <cell r="D489">
            <v>2550441</v>
          </cell>
          <cell r="E489" t="str">
            <v>硬盘</v>
          </cell>
          <cell r="F489">
            <v>5.4999999999999997E-3</v>
          </cell>
          <cell r="G489">
            <v>2708</v>
          </cell>
          <cell r="I489" t="str">
            <v>99-001349</v>
          </cell>
        </row>
        <row r="490">
          <cell r="B490" t="str">
            <v>302-001650</v>
          </cell>
          <cell r="C490" t="str">
            <v>电口模块-SFP+ 10Gbase-T RJ45 30M</v>
          </cell>
          <cell r="D490" t="str">
            <v>KGXN-8110-TS</v>
          </cell>
          <cell r="E490" t="str">
            <v>光模块</v>
          </cell>
          <cell r="F490">
            <v>4.1999999999999997E-3</v>
          </cell>
          <cell r="G490">
            <v>8</v>
          </cell>
        </row>
        <row r="491">
          <cell r="B491" t="str">
            <v>302-000515</v>
          </cell>
          <cell r="C491" t="str">
            <v>光缆组件-多模5m-60mm MPO-弯曲不敏感</v>
          </cell>
          <cell r="D491" t="str">
            <v>14130923-001</v>
          </cell>
          <cell r="E491" t="str">
            <v>线缆</v>
          </cell>
          <cell r="F491">
            <v>2E-3</v>
          </cell>
          <cell r="G491">
            <v>236</v>
          </cell>
        </row>
        <row r="492">
          <cell r="B492" t="str">
            <v>302-001771</v>
          </cell>
          <cell r="C492" t="str">
            <v>Riser2模组 2*16X SLOT (PCIE X8)</v>
          </cell>
          <cell r="D492" t="str">
            <v>02314BCQ</v>
          </cell>
          <cell r="E492" t="str">
            <v>Riser模组</v>
          </cell>
          <cell r="F492">
            <v>5.0000000000000001E-3</v>
          </cell>
          <cell r="G492">
            <v>5</v>
          </cell>
        </row>
        <row r="493">
          <cell r="B493" t="str">
            <v>302-000065</v>
          </cell>
          <cell r="C493" t="str">
            <v>SSD ER2-GD480-480G-SATA-6G-M.2读取JX V1.0</v>
          </cell>
          <cell r="D493" t="str">
            <v>3K07840006</v>
          </cell>
          <cell r="E493" t="str">
            <v>硬盘</v>
          </cell>
          <cell r="F493">
            <v>5.4999999999999997E-3</v>
          </cell>
          <cell r="G493">
            <v>45</v>
          </cell>
        </row>
        <row r="494">
          <cell r="B494" t="str">
            <v>302-000193</v>
          </cell>
          <cell r="C494" t="str">
            <v>M2转SATA PCIE 模块,(只支持M.2 SATA盘)</v>
          </cell>
          <cell r="D494" t="str">
            <v>02313AKL</v>
          </cell>
          <cell r="E494" t="str">
            <v>Riser模组</v>
          </cell>
          <cell r="F494">
            <v>5.0000000000000001E-3</v>
          </cell>
          <cell r="G494">
            <v>45</v>
          </cell>
        </row>
        <row r="495">
          <cell r="B495" t="str">
            <v>302-000739</v>
          </cell>
          <cell r="C495" t="str">
            <v>网卡25G双口SFP28-SP380-CX-4 Lx无光模块</v>
          </cell>
          <cell r="D495">
            <v>2570037</v>
          </cell>
          <cell r="E495" t="str">
            <v>网卡</v>
          </cell>
          <cell r="F495">
            <v>5.7999999999999996E-3</v>
          </cell>
          <cell r="G495">
            <v>37523</v>
          </cell>
          <cell r="I495" t="str">
            <v>99-000739</v>
          </cell>
        </row>
        <row r="496">
          <cell r="B496" t="str">
            <v>302-000162</v>
          </cell>
          <cell r="C496" t="str">
            <v>网卡25G双口SFP28 Mellanox CX4-lx</v>
          </cell>
          <cell r="D496">
            <v>2570017</v>
          </cell>
          <cell r="E496" t="str">
            <v>网卡</v>
          </cell>
          <cell r="F496">
            <v>5.7999999999999996E-3</v>
          </cell>
          <cell r="G496">
            <v>7</v>
          </cell>
          <cell r="I496" t="str">
            <v>99-000739</v>
          </cell>
        </row>
        <row r="497">
          <cell r="B497" t="str">
            <v>302-000888</v>
          </cell>
          <cell r="C497" t="str">
            <v>网卡25GE SFP28(Mellanox CX-4 Lx)DP</v>
          </cell>
          <cell r="D497" t="str">
            <v>02312LDK</v>
          </cell>
          <cell r="E497" t="str">
            <v>网卡</v>
          </cell>
          <cell r="F497">
            <v>5.7999999999999996E-3</v>
          </cell>
          <cell r="G497">
            <v>962</v>
          </cell>
          <cell r="I497" t="str">
            <v>99-000739</v>
          </cell>
        </row>
        <row r="498">
          <cell r="B498" t="str">
            <v>302-000536</v>
          </cell>
          <cell r="C498" t="str">
            <v>S内存DDR4-16G-2933MT/s-2Rank(1G*8bit)HLS</v>
          </cell>
          <cell r="D498">
            <v>2510003</v>
          </cell>
          <cell r="E498" t="str">
            <v>内存</v>
          </cell>
          <cell r="F498">
            <v>2E-3</v>
          </cell>
          <cell r="G498">
            <v>40</v>
          </cell>
          <cell r="I498" t="str">
            <v>99-000536</v>
          </cell>
        </row>
        <row r="499">
          <cell r="B499" t="str">
            <v>302-000175</v>
          </cell>
          <cell r="C499" t="str">
            <v>光模块-SFP+-10G-单模(1310nm,10km,LC)</v>
          </cell>
          <cell r="D499">
            <v>2318170</v>
          </cell>
          <cell r="E499" t="str">
            <v>光模块</v>
          </cell>
          <cell r="F499">
            <v>4.1999999999999997E-3</v>
          </cell>
          <cell r="G499">
            <v>194</v>
          </cell>
          <cell r="I499" t="str">
            <v>99-000175</v>
          </cell>
        </row>
        <row r="500">
          <cell r="B500" t="str">
            <v>302-001640</v>
          </cell>
          <cell r="C500" t="str">
            <v>R622服务器8*2.5机箱-无挂耳</v>
          </cell>
          <cell r="D500" t="str">
            <v>R622-8*2.5-L5</v>
          </cell>
          <cell r="E500" t="str">
            <v>机箱/硬盘背板</v>
          </cell>
          <cell r="F500">
            <v>2.8999999999999998E-3</v>
          </cell>
          <cell r="G500">
            <v>0</v>
          </cell>
          <cell r="I500" t="str">
            <v>88-000492</v>
          </cell>
        </row>
        <row r="501">
          <cell r="B501" t="str">
            <v>302-000492</v>
          </cell>
          <cell r="C501" t="str">
            <v>背板-12*3.5 EXP</v>
          </cell>
          <cell r="D501" t="str">
            <v>03027FAT</v>
          </cell>
          <cell r="E501" t="str">
            <v>机箱/硬盘背板</v>
          </cell>
          <cell r="F501">
            <v>2.8999999999999998E-3</v>
          </cell>
          <cell r="G501">
            <v>0</v>
          </cell>
          <cell r="I501" t="str">
            <v>88-000492</v>
          </cell>
        </row>
        <row r="502">
          <cell r="B502" t="str">
            <v>302-002432</v>
          </cell>
          <cell r="C502" t="str">
            <v>网卡MCX631102AN-ADAT-2*25-SFP28-PCIe4.0x8</v>
          </cell>
          <cell r="D502" t="str">
            <v>MCX631102AN-ADAT</v>
          </cell>
          <cell r="E502" t="str">
            <v>网卡</v>
          </cell>
          <cell r="F502">
            <v>5.7999999999999996E-3</v>
          </cell>
          <cell r="G502">
            <v>1096</v>
          </cell>
          <cell r="I502" t="str">
            <v>99-002432</v>
          </cell>
        </row>
        <row r="503">
          <cell r="B503" t="str">
            <v>302-002131</v>
          </cell>
          <cell r="C503" t="str">
            <v>S电源线国标-墙插电源线-C13直母-250V10A-5M黑-交流</v>
          </cell>
          <cell r="D503" t="str">
            <v>C2460008</v>
          </cell>
          <cell r="E503" t="str">
            <v>电源线</v>
          </cell>
          <cell r="F503">
            <v>2E-3</v>
          </cell>
          <cell r="G503">
            <v>3388</v>
          </cell>
          <cell r="I503" t="str">
            <v>99-002131</v>
          </cell>
        </row>
        <row r="504">
          <cell r="B504" t="str">
            <v>302-001514</v>
          </cell>
          <cell r="C504" t="str">
            <v>S内存DDR4-32G-3200-2Rx8-RD HLS V1.0</v>
          </cell>
          <cell r="D504">
            <v>2510029</v>
          </cell>
          <cell r="E504" t="str">
            <v>内存</v>
          </cell>
          <cell r="F504">
            <v>2E-3</v>
          </cell>
          <cell r="G504">
            <v>64304</v>
          </cell>
          <cell r="I504" t="str">
            <v>99-001514</v>
          </cell>
        </row>
        <row r="505">
          <cell r="B505" t="str">
            <v>302-002047</v>
          </cell>
          <cell r="C505" t="str">
            <v>S内存DDR4-32G-3200-2Rx8-RD HLS V1.1</v>
          </cell>
          <cell r="D505" t="str">
            <v>HMAA4GR7CJR8N-XN</v>
          </cell>
          <cell r="E505" t="str">
            <v>内存</v>
          </cell>
          <cell r="F505">
            <v>2E-3</v>
          </cell>
          <cell r="G505">
            <v>86028</v>
          </cell>
          <cell r="I505" t="str">
            <v>99-001514</v>
          </cell>
        </row>
        <row r="506">
          <cell r="B506" t="str">
            <v>302-000990</v>
          </cell>
          <cell r="C506" t="str">
            <v>SSD Memblaze D520读取1.92TB NVMe 2.5无托</v>
          </cell>
          <cell r="D506" t="str">
            <v>P5520DT0192T00</v>
          </cell>
          <cell r="E506" t="str">
            <v>硬盘</v>
          </cell>
          <cell r="F506">
            <v>5.4999999999999997E-3</v>
          </cell>
          <cell r="G506">
            <v>299</v>
          </cell>
        </row>
        <row r="507">
          <cell r="B507" t="str">
            <v>302-001346</v>
          </cell>
          <cell r="C507" t="str">
            <v>SSD ES3521AV6-480G-SATA-6G-2.5读取HW V1.3</v>
          </cell>
          <cell r="D507" t="str">
            <v>02550437/03034BBT</v>
          </cell>
          <cell r="E507" t="str">
            <v>硬盘</v>
          </cell>
          <cell r="F507">
            <v>5.4999999999999997E-3</v>
          </cell>
          <cell r="G507">
            <v>51826</v>
          </cell>
          <cell r="I507" t="str">
            <v>99-001346</v>
          </cell>
        </row>
        <row r="508">
          <cell r="B508" t="str">
            <v>302-001351</v>
          </cell>
          <cell r="C508" t="str">
            <v>SSD ES3521A V6读取-480G-SATA 2.5(3.5托)</v>
          </cell>
          <cell r="D508">
            <v>2550440</v>
          </cell>
          <cell r="E508" t="str">
            <v>硬盘</v>
          </cell>
          <cell r="F508">
            <v>5.4999999999999997E-3</v>
          </cell>
          <cell r="G508">
            <v>678</v>
          </cell>
          <cell r="I508" t="str">
            <v>99-001346</v>
          </cell>
        </row>
        <row r="509">
          <cell r="B509" t="str">
            <v>302-002078</v>
          </cell>
          <cell r="C509" t="str">
            <v>SSD ES3521AV6-480G-SATA-6G-2.5读取HW V1.1</v>
          </cell>
          <cell r="D509" t="str">
            <v>03034HBJ</v>
          </cell>
          <cell r="E509" t="str">
            <v>硬盘</v>
          </cell>
          <cell r="F509">
            <v>5.4999999999999997E-3</v>
          </cell>
          <cell r="G509">
            <v>80</v>
          </cell>
          <cell r="I509" t="str">
            <v>99-001346</v>
          </cell>
        </row>
        <row r="510">
          <cell r="B510" t="str">
            <v>302-001716</v>
          </cell>
          <cell r="C510" t="str">
            <v>S内存DDR4-32G-3200-2Rank(2G*8bit) SX</v>
          </cell>
          <cell r="D510">
            <v>2510058</v>
          </cell>
          <cell r="E510" t="str">
            <v>内存</v>
          </cell>
          <cell r="F510">
            <v>2E-3</v>
          </cell>
          <cell r="G510">
            <v>23429</v>
          </cell>
          <cell r="I510" t="str">
            <v>99-001716</v>
          </cell>
        </row>
        <row r="511">
          <cell r="B511" t="str">
            <v>302-001665</v>
          </cell>
          <cell r="C511" t="str">
            <v>S内存DDR4-32GB-3200-2Rank(2G*8bit)</v>
          </cell>
          <cell r="D511">
            <v>2510058</v>
          </cell>
          <cell r="E511" t="str">
            <v>内存</v>
          </cell>
          <cell r="F511">
            <v>2E-3</v>
          </cell>
          <cell r="G511">
            <v>0</v>
          </cell>
          <cell r="I511" t="str">
            <v>99-001716</v>
          </cell>
        </row>
        <row r="512">
          <cell r="B512" t="str">
            <v>302-001513</v>
          </cell>
          <cell r="C512" t="str">
            <v>S内存DDR4-32G-3200-2Rx8-RD SX V1.0</v>
          </cell>
          <cell r="D512" t="str">
            <v>M393A4G43AB3-CWE</v>
          </cell>
          <cell r="E512" t="str">
            <v>内存</v>
          </cell>
          <cell r="F512">
            <v>2E-3</v>
          </cell>
          <cell r="G512">
            <v>640</v>
          </cell>
          <cell r="I512" t="str">
            <v>99-001716</v>
          </cell>
        </row>
        <row r="513">
          <cell r="B513" t="str">
            <v>302-001323</v>
          </cell>
          <cell r="C513" t="str">
            <v>SSD PM1643a-3.84T-SAS-12G-2.5读取SX V1.0</v>
          </cell>
          <cell r="D513" t="str">
            <v>MZILT3T8HBLS-00007</v>
          </cell>
          <cell r="E513" t="str">
            <v>硬盘</v>
          </cell>
          <cell r="F513">
            <v>5.4999999999999997E-3</v>
          </cell>
          <cell r="G513">
            <v>1387</v>
          </cell>
          <cell r="I513" t="str">
            <v>99-000083</v>
          </cell>
        </row>
        <row r="514">
          <cell r="B514" t="str">
            <v>302-001322</v>
          </cell>
          <cell r="C514" t="str">
            <v>SSD PM1643a-7.68T-SAS-12G-2.5读取SX V1.0</v>
          </cell>
          <cell r="D514" t="str">
            <v>MZILT7T6HALA-00007</v>
          </cell>
          <cell r="E514" t="str">
            <v>硬盘</v>
          </cell>
          <cell r="F514">
            <v>5.4999999999999997E-3</v>
          </cell>
          <cell r="G514">
            <v>228</v>
          </cell>
        </row>
        <row r="515">
          <cell r="B515" t="str">
            <v>302-001684</v>
          </cell>
          <cell r="C515" t="str">
            <v>AI推理卡Atlas A300-3010 x16(HHHL)DDR4*8G</v>
          </cell>
          <cell r="D515" t="str">
            <v>02314DCT</v>
          </cell>
          <cell r="E515" t="str">
            <v>AI推理卡</v>
          </cell>
          <cell r="F515">
            <v>6.3E-3</v>
          </cell>
          <cell r="G515">
            <v>997</v>
          </cell>
          <cell r="I515" t="str">
            <v>99-000412</v>
          </cell>
        </row>
        <row r="516">
          <cell r="B516" t="str">
            <v>302-001658</v>
          </cell>
          <cell r="C516" t="str">
            <v>AI卡Atlas 300I x8(HHHL)DDR4*8G</v>
          </cell>
          <cell r="D516" t="str">
            <v>02313KLK</v>
          </cell>
          <cell r="E516" t="str">
            <v>AI推理卡</v>
          </cell>
          <cell r="F516">
            <v>6.3E-3</v>
          </cell>
          <cell r="G516">
            <v>1256</v>
          </cell>
          <cell r="I516" t="str">
            <v>99-000412</v>
          </cell>
        </row>
        <row r="517">
          <cell r="B517" t="str">
            <v>302-000412</v>
          </cell>
          <cell r="C517" t="str">
            <v>AI推理卡Atlas A300-3010 x16(HHHL)DDR4*8G</v>
          </cell>
          <cell r="D517" t="str">
            <v>02312JPM</v>
          </cell>
          <cell r="E517" t="str">
            <v>AI推理卡</v>
          </cell>
          <cell r="F517">
            <v>6.3E-3</v>
          </cell>
          <cell r="G517">
            <v>1257</v>
          </cell>
          <cell r="I517" t="str">
            <v>99-000412</v>
          </cell>
        </row>
        <row r="518">
          <cell r="B518" t="str">
            <v>302-001701</v>
          </cell>
          <cell r="C518" t="str">
            <v>SAS线-RAID卡专用1分2 mini SAS-0.8&amp;0.7m</v>
          </cell>
          <cell r="D518">
            <v>4052867</v>
          </cell>
          <cell r="E518" t="str">
            <v>线缆</v>
          </cell>
          <cell r="F518">
            <v>2E-3</v>
          </cell>
          <cell r="G518">
            <v>11622</v>
          </cell>
        </row>
        <row r="519">
          <cell r="B519" t="str">
            <v>302-001780</v>
          </cell>
          <cell r="C519" t="str">
            <v>SAS线-RAID卡专用1分2 mini SAS-0.85&amp;0.75m</v>
          </cell>
          <cell r="D519" t="str">
            <v>04052867-004</v>
          </cell>
          <cell r="E519" t="str">
            <v>线缆</v>
          </cell>
          <cell r="F519">
            <v>2E-3</v>
          </cell>
          <cell r="G519">
            <v>8966</v>
          </cell>
          <cell r="I519" t="str">
            <v>99-001780</v>
          </cell>
        </row>
        <row r="520">
          <cell r="B520" t="str">
            <v>302-001652</v>
          </cell>
          <cell r="C520" t="str">
            <v>S内存DDR4-32G-2933-2Rank(2G*4bit)</v>
          </cell>
          <cell r="D520">
            <v>6200303</v>
          </cell>
          <cell r="E520" t="str">
            <v>内存</v>
          </cell>
          <cell r="F520">
            <v>2E-3</v>
          </cell>
          <cell r="G520">
            <v>136</v>
          </cell>
        </row>
        <row r="521">
          <cell r="B521" t="str">
            <v>302-001331</v>
          </cell>
          <cell r="C521" t="str">
            <v>IB卡 MCX456A-ECAT 100G双口QSFP28</v>
          </cell>
          <cell r="D521" t="str">
            <v>MCX456A-ECAT</v>
          </cell>
          <cell r="E521" t="str">
            <v>网卡</v>
          </cell>
          <cell r="F521">
            <v>5.7999999999999996E-3</v>
          </cell>
          <cell r="G521">
            <v>88</v>
          </cell>
        </row>
        <row r="522">
          <cell r="B522" t="str">
            <v>302-001800</v>
          </cell>
          <cell r="C522" t="str">
            <v>SSD H101-IY-256G-SATA-6G-2.5读写HD V1.0</v>
          </cell>
          <cell r="D522" t="str">
            <v>DGC63256S3I27SD1</v>
          </cell>
          <cell r="E522" t="str">
            <v>硬盘</v>
          </cell>
          <cell r="F522">
            <v>5.4999999999999997E-3</v>
          </cell>
          <cell r="G522">
            <v>4005</v>
          </cell>
        </row>
        <row r="523">
          <cell r="B523" t="str">
            <v>302-001802</v>
          </cell>
          <cell r="C523" t="str">
            <v>网卡RP2000-2*10Gb-SFP+-PCIe3.0x8</v>
          </cell>
          <cell r="D523" t="str">
            <v>RP2000-WX1820AL</v>
          </cell>
          <cell r="E523" t="str">
            <v>网卡</v>
          </cell>
          <cell r="F523">
            <v>5.7999999999999996E-3</v>
          </cell>
          <cell r="G523">
            <v>5393</v>
          </cell>
          <cell r="I523" t="str">
            <v>99-001802</v>
          </cell>
        </row>
        <row r="524">
          <cell r="B524" t="str">
            <v>302-001188</v>
          </cell>
          <cell r="C524" t="str">
            <v>光模块QSFP+ 41.25G多模(850nm,0.15km,MPO)</v>
          </cell>
          <cell r="D524" t="str">
            <v>34060662-002</v>
          </cell>
          <cell r="E524" t="str">
            <v>光模块</v>
          </cell>
          <cell r="F524">
            <v>4.1999999999999997E-3</v>
          </cell>
          <cell r="G524">
            <v>192</v>
          </cell>
        </row>
        <row r="525">
          <cell r="B525" t="str">
            <v>302-000211</v>
          </cell>
          <cell r="C525" t="str">
            <v>Riser模组 2*2.5后置硬盘背板组件+1*16</v>
          </cell>
          <cell r="D525" t="str">
            <v>02580031</v>
          </cell>
          <cell r="E525" t="str">
            <v>Riser模组</v>
          </cell>
          <cell r="F525">
            <v>5.0000000000000001E-3</v>
          </cell>
          <cell r="G525">
            <v>47</v>
          </cell>
          <cell r="I525" t="str">
            <v>99-000211</v>
          </cell>
        </row>
        <row r="526">
          <cell r="B526" t="str">
            <v>302-001369</v>
          </cell>
          <cell r="C526" t="str">
            <v>S主板S920X00-7265-AH 2*(920,64C) 1711</v>
          </cell>
          <cell r="D526" t="str">
            <v>03050FAJ</v>
          </cell>
          <cell r="E526" t="str">
            <v>主板</v>
          </cell>
          <cell r="F526">
            <v>8.5000000000000006E-3</v>
          </cell>
          <cell r="G526">
            <v>22</v>
          </cell>
          <cell r="I526" t="str">
            <v>99-001369</v>
          </cell>
        </row>
        <row r="527">
          <cell r="B527" t="str">
            <v>302-001114</v>
          </cell>
          <cell r="C527" t="str">
            <v>S主板S920X00-7265 2*920,3.0GHz 64C 1711</v>
          </cell>
          <cell r="D527" t="str">
            <v xml:space="preserve">03050CRT  </v>
          </cell>
          <cell r="E527" t="str">
            <v>主板</v>
          </cell>
          <cell r="F527">
            <v>8.5000000000000006E-3</v>
          </cell>
          <cell r="G527">
            <v>0</v>
          </cell>
          <cell r="I527" t="str">
            <v>99-001369</v>
          </cell>
        </row>
        <row r="528">
          <cell r="B528" t="str">
            <v>302-001723</v>
          </cell>
          <cell r="C528" t="str">
            <v>硬盘2T-SATA 6Gb/s-7.2K-3.5无托 XJ</v>
          </cell>
          <cell r="D528" t="str">
            <v>ST2000NM000B</v>
          </cell>
          <cell r="E528" t="str">
            <v>硬盘</v>
          </cell>
          <cell r="F528">
            <v>5.4999999999999997E-3</v>
          </cell>
          <cell r="G528">
            <v>6</v>
          </cell>
        </row>
        <row r="529">
          <cell r="B529" t="str">
            <v>302-001846</v>
          </cell>
          <cell r="C529" t="str">
            <v>硬盘4T-NL SAS 12Gb/s-7.2K-3.5无托 XJ</v>
          </cell>
          <cell r="D529" t="str">
            <v>ST4000NM000B,ST4000NM001B</v>
          </cell>
          <cell r="E529" t="str">
            <v>硬盘</v>
          </cell>
          <cell r="F529">
            <v>5.4999999999999997E-3</v>
          </cell>
          <cell r="G529">
            <v>222</v>
          </cell>
          <cell r="I529" t="str">
            <v>99-001846</v>
          </cell>
        </row>
        <row r="530">
          <cell r="B530" t="str">
            <v>302-000783</v>
          </cell>
          <cell r="C530" t="str">
            <v>网卡 MCX516A-CCAT 100G双口QSFP28</v>
          </cell>
          <cell r="D530" t="str">
            <v>MCX516A-CCAT</v>
          </cell>
          <cell r="E530" t="str">
            <v>网卡</v>
          </cell>
          <cell r="F530">
            <v>5.7999999999999996E-3</v>
          </cell>
          <cell r="G530">
            <v>18</v>
          </cell>
        </row>
        <row r="531">
          <cell r="B531" t="str">
            <v>302-001724</v>
          </cell>
          <cell r="C531" t="str">
            <v>S电源线PDU国标-C14直公-C13直母-250V10A-1.2m黄-交流</v>
          </cell>
          <cell r="D531" t="str">
            <v>RD01-S2202022-002</v>
          </cell>
          <cell r="E531" t="str">
            <v>电源线</v>
          </cell>
          <cell r="F531">
            <v>2E-3</v>
          </cell>
          <cell r="G531">
            <v>5465</v>
          </cell>
        </row>
        <row r="532">
          <cell r="B532" t="str">
            <v>302-001817</v>
          </cell>
          <cell r="C532" t="str">
            <v>S电源线墙插国标-PI直公-C13直母-250V10A-1.2m黄-交流HT</v>
          </cell>
          <cell r="D532" t="str">
            <v>RD01-S2111007-001</v>
          </cell>
          <cell r="E532" t="str">
            <v>电源线</v>
          </cell>
          <cell r="F532">
            <v>2E-3</v>
          </cell>
          <cell r="G532">
            <v>3363</v>
          </cell>
        </row>
        <row r="533">
          <cell r="B533" t="str">
            <v>302-000687</v>
          </cell>
          <cell r="C533" t="str">
            <v>RAID扣卡 SR430C(LSI3108)-1GB Cache</v>
          </cell>
          <cell r="D533" t="str">
            <v>02311UBY</v>
          </cell>
          <cell r="E533" t="str">
            <v>RAID卡</v>
          </cell>
          <cell r="F533">
            <v>7.7999999999999996E-3</v>
          </cell>
          <cell r="G533">
            <v>3</v>
          </cell>
          <cell r="I533" t="str">
            <v>99-000687</v>
          </cell>
        </row>
        <row r="534">
          <cell r="B534" t="str">
            <v>302-001643</v>
          </cell>
          <cell r="C534" t="str">
            <v>RAID扣卡 SR430C(LSI3108)-1GB-BC1M12ESMS</v>
          </cell>
          <cell r="D534">
            <v>2560059</v>
          </cell>
          <cell r="E534" t="str">
            <v>RAID卡</v>
          </cell>
          <cell r="F534">
            <v>7.7999999999999996E-3</v>
          </cell>
          <cell r="G534">
            <v>57</v>
          </cell>
          <cell r="I534" t="str">
            <v>99-000687</v>
          </cell>
        </row>
        <row r="535">
          <cell r="B535" t="str">
            <v>302-001844</v>
          </cell>
          <cell r="C535" t="str">
            <v>SAS线-RAID卡专用1分2 mini SAS-1.0m&amp;0.9m</v>
          </cell>
          <cell r="D535" t="str">
            <v>04052867-002</v>
          </cell>
          <cell r="E535" t="str">
            <v>线缆</v>
          </cell>
          <cell r="F535">
            <v>2E-3</v>
          </cell>
          <cell r="G535">
            <v>13613</v>
          </cell>
          <cell r="I535" t="str">
            <v>99-001844</v>
          </cell>
        </row>
        <row r="536">
          <cell r="B536" t="str">
            <v>302-001884</v>
          </cell>
          <cell r="C536" t="str">
            <v>SAS线-RAID卡专用1分2 mini SAS-0.9m&amp;0.8m</v>
          </cell>
          <cell r="D536" t="str">
            <v>04052867-003</v>
          </cell>
          <cell r="E536" t="str">
            <v>线缆</v>
          </cell>
          <cell r="F536">
            <v>2E-3</v>
          </cell>
          <cell r="G536">
            <v>29334</v>
          </cell>
          <cell r="I536" t="str">
            <v>99-001844</v>
          </cell>
        </row>
        <row r="537">
          <cell r="B537" t="str">
            <v>302-001387</v>
          </cell>
          <cell r="C537" t="str">
            <v>风扇组件-S920S03-BC1M05MFAN01-6038</v>
          </cell>
          <cell r="D537" t="str">
            <v>02312LCF</v>
          </cell>
          <cell r="E537" t="str">
            <v>风扇</v>
          </cell>
          <cell r="F537">
            <v>2.8999999999999998E-3</v>
          </cell>
          <cell r="G537">
            <v>46</v>
          </cell>
          <cell r="I537" t="str">
            <v>99-001382</v>
          </cell>
        </row>
        <row r="538">
          <cell r="B538" t="str">
            <v>302-000983</v>
          </cell>
          <cell r="C538" t="str">
            <v>SSD PM1725B读写6.4TB-NVMe 2.5 无托企业级</v>
          </cell>
          <cell r="D538" t="str">
            <v>MZWLL6T4HMLA-00005</v>
          </cell>
          <cell r="E538" t="str">
            <v>硬盘</v>
          </cell>
          <cell r="F538">
            <v>5.4999999999999997E-3</v>
          </cell>
          <cell r="G538">
            <v>40</v>
          </cell>
          <cell r="I538" t="str">
            <v>99-002843</v>
          </cell>
        </row>
        <row r="539">
          <cell r="B539" t="str">
            <v>302-000569</v>
          </cell>
          <cell r="C539" t="str">
            <v>S内存DDR4-128G-2933-4Rx4-RD SX V1.0</v>
          </cell>
          <cell r="D539">
            <v>2510005</v>
          </cell>
          <cell r="E539" t="str">
            <v>内存</v>
          </cell>
          <cell r="F539">
            <v>2E-3</v>
          </cell>
          <cell r="G539">
            <v>2</v>
          </cell>
        </row>
        <row r="540">
          <cell r="B540" t="str">
            <v>302-001861</v>
          </cell>
          <cell r="C540" t="str">
            <v>S硬盘16T-3.5SAS-12G 7.2K-256M-XJ V1.0</v>
          </cell>
          <cell r="D540" t="str">
            <v>ST1600ONMO04J</v>
          </cell>
          <cell r="E540" t="str">
            <v>硬盘</v>
          </cell>
          <cell r="F540">
            <v>5.4999999999999997E-3</v>
          </cell>
          <cell r="G540">
            <v>463</v>
          </cell>
        </row>
        <row r="541">
          <cell r="B541" t="str">
            <v>302-000396</v>
          </cell>
          <cell r="C541" t="str">
            <v>SSD D926-6.4T-NVMe3.0-2.5读写YHCY V1.0</v>
          </cell>
          <cell r="D541" t="str">
            <v>P5926DT0640M00</v>
          </cell>
          <cell r="E541" t="str">
            <v>硬盘</v>
          </cell>
          <cell r="F541">
            <v>5.4999999999999997E-3</v>
          </cell>
          <cell r="G541">
            <v>0</v>
          </cell>
        </row>
        <row r="542">
          <cell r="B542" t="str">
            <v>302-001864</v>
          </cell>
          <cell r="C542" t="str">
            <v>网卡AN8540-T2-2*10G-RJ45-PCIe2.0x8 Ceacent</v>
          </cell>
          <cell r="D542" t="str">
            <v>CEACENT X540-T2,CEACENT AN8540-T2</v>
          </cell>
          <cell r="E542" t="str">
            <v>网卡</v>
          </cell>
          <cell r="F542">
            <v>5.7999999999999996E-3</v>
          </cell>
          <cell r="G542">
            <v>4</v>
          </cell>
        </row>
        <row r="543">
          <cell r="B543" t="str">
            <v>302-001843</v>
          </cell>
          <cell r="C543" t="str">
            <v>S内存DDR4-64GB-3200-2Rank(4G*4bit) SX</v>
          </cell>
          <cell r="D543" t="str">
            <v>M393A8G40AB2-CWE</v>
          </cell>
          <cell r="E543" t="str">
            <v>内存</v>
          </cell>
          <cell r="F543">
            <v>2E-3</v>
          </cell>
          <cell r="G543">
            <v>5942</v>
          </cell>
          <cell r="I543" t="str">
            <v>99-001843</v>
          </cell>
        </row>
        <row r="544">
          <cell r="B544" t="str">
            <v>302-001750</v>
          </cell>
          <cell r="C544" t="str">
            <v>S内存DDR4-64G-3200-2Rx4-RD SX V1.0</v>
          </cell>
          <cell r="D544" t="str">
            <v>2510048,M393A8G40AB2-CWE</v>
          </cell>
          <cell r="E544" t="str">
            <v>内存</v>
          </cell>
          <cell r="F544">
            <v>2E-3</v>
          </cell>
          <cell r="G544">
            <v>52393</v>
          </cell>
          <cell r="I544" t="str">
            <v>99-001843</v>
          </cell>
        </row>
        <row r="545">
          <cell r="B545" t="str">
            <v>302-001265</v>
          </cell>
          <cell r="C545" t="str">
            <v>S硬盘4T-3.5SAS-12G7.2K-128M-XJ V1.0</v>
          </cell>
          <cell r="D545" t="str">
            <v>ST4000NM0025</v>
          </cell>
          <cell r="E545" t="str">
            <v>硬盘</v>
          </cell>
          <cell r="F545">
            <v>5.4999999999999997E-3</v>
          </cell>
          <cell r="G545">
            <v>12</v>
          </cell>
          <cell r="I545" t="str">
            <v>99-001846</v>
          </cell>
        </row>
        <row r="546">
          <cell r="B546" t="str">
            <v>302-000782</v>
          </cell>
          <cell r="C546" t="str">
            <v>网卡 MCX512A-ACAT 25G/10G双口SFP28</v>
          </cell>
          <cell r="D546" t="str">
            <v>MCX512A-ACAT</v>
          </cell>
          <cell r="E546" t="str">
            <v>网卡</v>
          </cell>
          <cell r="F546">
            <v>5.7999999999999996E-3</v>
          </cell>
          <cell r="G546">
            <v>99</v>
          </cell>
          <cell r="I546" t="str">
            <v>99-000786</v>
          </cell>
        </row>
        <row r="547">
          <cell r="B547" t="str">
            <v>302-000380</v>
          </cell>
          <cell r="C547" t="str">
            <v>XGIGA光模块-SFP28-25G多模850nm,0.1km,LC</v>
          </cell>
          <cell r="D547" t="str">
            <v>XP-85B1-02D</v>
          </cell>
          <cell r="E547" t="str">
            <v>光模块</v>
          </cell>
          <cell r="F547">
            <v>4.1999999999999997E-3</v>
          </cell>
          <cell r="G547">
            <v>8329</v>
          </cell>
          <cell r="I547" t="str">
            <v>99-000380</v>
          </cell>
        </row>
        <row r="548">
          <cell r="B548" t="str">
            <v>302-001659</v>
          </cell>
          <cell r="C548" t="str">
            <v>光模块-SFP28-25G-多模(850nm,0.1km,LC)</v>
          </cell>
          <cell r="D548" t="str">
            <v>34061254-001</v>
          </cell>
          <cell r="E548" t="str">
            <v>光模块</v>
          </cell>
          <cell r="F548">
            <v>4.1999999999999997E-3</v>
          </cell>
          <cell r="G548">
            <v>12394</v>
          </cell>
          <cell r="I548" t="str">
            <v>99-000380</v>
          </cell>
        </row>
        <row r="549">
          <cell r="B549" t="str">
            <v>302-001799</v>
          </cell>
          <cell r="C549" t="str">
            <v>光模块-SFP28-25G-多模(850nm,0.1km,LC)-NDD</v>
          </cell>
          <cell r="D549" t="str">
            <v>SFP-25G-SR-HW</v>
          </cell>
          <cell r="E549" t="str">
            <v>光模块</v>
          </cell>
          <cell r="F549">
            <v>4.1999999999999997E-3</v>
          </cell>
          <cell r="G549">
            <v>79215</v>
          </cell>
          <cell r="I549" t="str">
            <v>99-000380</v>
          </cell>
        </row>
        <row r="550">
          <cell r="B550" t="str">
            <v>302-001657</v>
          </cell>
          <cell r="C550" t="str">
            <v>光模块-SFP28-25G-多模(850nm,0.1km,LC)</v>
          </cell>
          <cell r="D550" t="str">
            <v>02313BJK</v>
          </cell>
          <cell r="E550" t="str">
            <v>光模块</v>
          </cell>
          <cell r="F550">
            <v>4.1999999999999997E-3</v>
          </cell>
          <cell r="G550">
            <v>19751</v>
          </cell>
          <cell r="I550" t="str">
            <v>99-000380</v>
          </cell>
        </row>
        <row r="551">
          <cell r="B551" t="str">
            <v>302-000176</v>
          </cell>
          <cell r="C551" t="str">
            <v>光模块25GBase-SR-SFP28-25G多模模块</v>
          </cell>
          <cell r="D551" t="str">
            <v>02311KNR</v>
          </cell>
          <cell r="E551" t="str">
            <v>光模块</v>
          </cell>
          <cell r="F551">
            <v>4.1999999999999997E-3</v>
          </cell>
          <cell r="G551">
            <v>15096</v>
          </cell>
          <cell r="I551" t="str">
            <v>99-000380</v>
          </cell>
        </row>
        <row r="552">
          <cell r="B552" t="str">
            <v>302-002164</v>
          </cell>
          <cell r="C552" t="str">
            <v>XGIGA光模块-SFP28-25G多模850nm,0.1km,LC-V2</v>
          </cell>
          <cell r="D552" t="str">
            <v>XP-85B1-02D(A)-V2</v>
          </cell>
          <cell r="E552" t="str">
            <v>光模块</v>
          </cell>
          <cell r="F552">
            <v>4.1999999999999997E-3</v>
          </cell>
          <cell r="G552">
            <v>9006</v>
          </cell>
          <cell r="I552" t="str">
            <v>99-000380</v>
          </cell>
        </row>
        <row r="553">
          <cell r="B553" t="str">
            <v>302-001878</v>
          </cell>
          <cell r="C553" t="str">
            <v>SSD-ES3500S-V6-1.92T-SAS-12Gb/s读取2.5寸</v>
          </cell>
          <cell r="D553">
            <v>2550504</v>
          </cell>
          <cell r="E553" t="str">
            <v>硬盘</v>
          </cell>
          <cell r="F553">
            <v>5.4999999999999997E-3</v>
          </cell>
          <cell r="G553">
            <v>118</v>
          </cell>
        </row>
        <row r="554">
          <cell r="B554" t="str">
            <v>302-001892</v>
          </cell>
          <cell r="C554" t="str">
            <v>SSD-ES3521A V6读取-960G-6Gb/s-SATA-2.5(无托)</v>
          </cell>
          <cell r="D554" t="str">
            <v>03034BBR</v>
          </cell>
          <cell r="E554" t="str">
            <v>硬盘</v>
          </cell>
          <cell r="F554">
            <v>5.4999999999999997E-3</v>
          </cell>
          <cell r="G554">
            <v>178</v>
          </cell>
          <cell r="I554" t="str">
            <v>99-001349</v>
          </cell>
        </row>
        <row r="555">
          <cell r="B555" t="str">
            <v>302-001877</v>
          </cell>
          <cell r="C555" t="str">
            <v>S主板S920X00-7265F-AH-2*64C@3.0G-16DIMM</v>
          </cell>
          <cell r="D555" t="str">
            <v>03050JAW</v>
          </cell>
          <cell r="E555" t="str">
            <v>主板</v>
          </cell>
          <cell r="F555">
            <v>8.5000000000000006E-3</v>
          </cell>
          <cell r="G555">
            <v>285</v>
          </cell>
          <cell r="I555" t="str">
            <v>99-001877</v>
          </cell>
        </row>
        <row r="556">
          <cell r="B556" t="str">
            <v>302-001787</v>
          </cell>
          <cell r="C556" t="str">
            <v>SSD ES3521A V6读取-480G-SATA 2.5及托</v>
          </cell>
          <cell r="D556">
            <v>2550256</v>
          </cell>
          <cell r="E556" t="str">
            <v>硬盘</v>
          </cell>
          <cell r="F556">
            <v>5.4999999999999997E-3</v>
          </cell>
          <cell r="G556">
            <v>3005</v>
          </cell>
          <cell r="I556" t="str">
            <v>99-001346</v>
          </cell>
        </row>
        <row r="557">
          <cell r="B557" t="str">
            <v>302-002092</v>
          </cell>
          <cell r="C557" t="str">
            <v>SSD ES3521AV6-960G-SATA-6G-2.5读取HW+2.5托架</v>
          </cell>
          <cell r="D557">
            <v>2550259</v>
          </cell>
          <cell r="E557" t="str">
            <v>硬盘</v>
          </cell>
          <cell r="F557">
            <v>5.4999999999999997E-3</v>
          </cell>
          <cell r="G557">
            <v>138</v>
          </cell>
          <cell r="I557" t="str">
            <v>99-001349</v>
          </cell>
        </row>
        <row r="558">
          <cell r="B558" t="str">
            <v>320-</v>
          </cell>
          <cell r="C558" t="str">
            <v>SSD SDHKD-UE读写-1.6TB-NVMe AIC客供</v>
          </cell>
          <cell r="D558" t="str">
            <v>SDHKD-UE1600-2,SDHKD-UE1600</v>
          </cell>
          <cell r="E558" t="str">
            <v>硬盘</v>
          </cell>
          <cell r="F558">
            <v>5.4999999999999997E-3</v>
          </cell>
          <cell r="G558">
            <v>187</v>
          </cell>
        </row>
        <row r="559">
          <cell r="B559" t="str">
            <v>302-002091</v>
          </cell>
          <cell r="C559" t="str">
            <v>NVMeSSD UH831a-6.4TB-PCIe4-2.5读写YL-K</v>
          </cell>
          <cell r="D559" t="str">
            <v>RP2A36T4RK004VX,1003-00529</v>
          </cell>
          <cell r="E559" t="str">
            <v>硬盘</v>
          </cell>
          <cell r="F559">
            <v>5.4999999999999997E-3</v>
          </cell>
          <cell r="G559">
            <v>813</v>
          </cell>
          <cell r="I559" t="str">
            <v>99-002091</v>
          </cell>
        </row>
        <row r="560">
          <cell r="B560" t="str">
            <v>302-001197</v>
          </cell>
          <cell r="C560" t="str">
            <v>2*16X SLOT(PCIE X16, X8) RISER1模组-R721</v>
          </cell>
          <cell r="D560">
            <v>2580202</v>
          </cell>
          <cell r="E560" t="str">
            <v>Riser模组</v>
          </cell>
          <cell r="F560">
            <v>5.0000000000000001E-3</v>
          </cell>
          <cell r="G560">
            <v>366</v>
          </cell>
        </row>
        <row r="561">
          <cell r="B561" t="str">
            <v>302-000737</v>
          </cell>
          <cell r="C561" t="str">
            <v>S硬盘12T-3.5SATA-6G7.2K-256M-XJ V1.0</v>
          </cell>
          <cell r="D561" t="str">
            <v>ST12000NM001G</v>
          </cell>
          <cell r="E561" t="str">
            <v>硬盘</v>
          </cell>
          <cell r="F561">
            <v>5.4999999999999997E-3</v>
          </cell>
          <cell r="G561">
            <v>1071</v>
          </cell>
          <cell r="I561" t="str">
            <v>99-000737</v>
          </cell>
        </row>
        <row r="562">
          <cell r="B562" t="str">
            <v>302-001225</v>
          </cell>
          <cell r="C562" t="str">
            <v>硬盘12T-SATA 6Gb/s-7.2K-3.5无托 DZ</v>
          </cell>
          <cell r="D562" t="str">
            <v>MG07ACA12TE</v>
          </cell>
          <cell r="E562" t="str">
            <v>硬盘</v>
          </cell>
          <cell r="F562">
            <v>5.4999999999999997E-3</v>
          </cell>
          <cell r="G562">
            <v>0</v>
          </cell>
          <cell r="I562" t="str">
            <v>99-000737</v>
          </cell>
        </row>
        <row r="563">
          <cell r="B563" t="str">
            <v>302-002060</v>
          </cell>
          <cell r="C563" t="str">
            <v>S硬盘12T-3.5SATA-6G7.2K-256M-XJ-V1.1</v>
          </cell>
          <cell r="D563" t="str">
            <v>2TY103-002</v>
          </cell>
          <cell r="E563" t="str">
            <v>硬盘</v>
          </cell>
          <cell r="F563">
            <v>5.4999999999999997E-3</v>
          </cell>
          <cell r="G563">
            <v>2557</v>
          </cell>
          <cell r="I563" t="str">
            <v>99-000737</v>
          </cell>
        </row>
        <row r="564">
          <cell r="B564" t="str">
            <v>302-002176</v>
          </cell>
          <cell r="C564" t="str">
            <v>S硬盘12T-3.5SATA-6G7.2K-256M-XJ V1.3</v>
          </cell>
          <cell r="D564" t="str">
            <v>2MV103-121</v>
          </cell>
          <cell r="E564" t="str">
            <v>硬盘</v>
          </cell>
          <cell r="F564">
            <v>5.4999999999999997E-3</v>
          </cell>
          <cell r="G564">
            <v>488</v>
          </cell>
          <cell r="I564" t="str">
            <v>99-000737</v>
          </cell>
        </row>
        <row r="565">
          <cell r="B565" t="str">
            <v>302-002126</v>
          </cell>
          <cell r="C565" t="str">
            <v>2U2P白牌机箱-12*3.5EXP-X00（无背板）</v>
          </cell>
          <cell r="D565" t="str">
            <v>02314HVH</v>
          </cell>
          <cell r="E565" t="str">
            <v>机箱/硬盘背板</v>
          </cell>
          <cell r="F565">
            <v>2.8999999999999998E-3</v>
          </cell>
          <cell r="G565">
            <v>3077</v>
          </cell>
          <cell r="I565" t="str">
            <v>88-002053</v>
          </cell>
        </row>
        <row r="566">
          <cell r="B566" t="str">
            <v>302-002053</v>
          </cell>
          <cell r="C566" t="str">
            <v>12x3.5 英寸硬盘 EXP 背板 3</v>
          </cell>
          <cell r="D566" t="str">
            <v>0302Y072</v>
          </cell>
          <cell r="E566" t="str">
            <v>机箱/硬盘背板</v>
          </cell>
          <cell r="F566">
            <v>2.8999999999999998E-3</v>
          </cell>
          <cell r="G566">
            <v>2237</v>
          </cell>
          <cell r="I566" t="str">
            <v>88-002053</v>
          </cell>
        </row>
        <row r="567">
          <cell r="B567" t="str">
            <v>302-002090</v>
          </cell>
          <cell r="C567" t="str">
            <v>SSD PM893读取-3.84TB-SATA 2.5-V1.1 SX</v>
          </cell>
          <cell r="D567" t="str">
            <v>MZ7L33T8HBLT-00A07</v>
          </cell>
          <cell r="E567" t="str">
            <v>硬盘</v>
          </cell>
          <cell r="F567">
            <v>5.4999999999999997E-3</v>
          </cell>
          <cell r="G567">
            <v>8678</v>
          </cell>
          <cell r="I567" t="str">
            <v>99-000864</v>
          </cell>
        </row>
        <row r="568">
          <cell r="B568" t="str">
            <v>302-002111</v>
          </cell>
          <cell r="C568" t="str">
            <v>S电源线国标-C14 PDU直公-C13直母-250V10A-3M-交流</v>
          </cell>
          <cell r="D568">
            <v>4050846</v>
          </cell>
          <cell r="E568" t="str">
            <v>电源线</v>
          </cell>
          <cell r="F568">
            <v>2E-3</v>
          </cell>
          <cell r="G568">
            <v>26697</v>
          </cell>
        </row>
        <row r="569">
          <cell r="B569" t="str">
            <v>302-002087</v>
          </cell>
          <cell r="C569" t="str">
            <v>FC卡LPe32000-1*32G-SFP+PCIe3.0x8-含模</v>
          </cell>
          <cell r="D569" t="str">
            <v>LPE32000-M2</v>
          </cell>
          <cell r="E569" t="str">
            <v>HBA卡</v>
          </cell>
          <cell r="F569">
            <v>6.1999999999999998E-3</v>
          </cell>
          <cell r="G569">
            <v>135</v>
          </cell>
        </row>
        <row r="570">
          <cell r="B570" t="str">
            <v>302-001077</v>
          </cell>
          <cell r="C570" t="str">
            <v>NVIDIA-Tesla T4 计算卡-16GB 半高</v>
          </cell>
          <cell r="D570" t="str">
            <v>NVIDIA-TESLA T4</v>
          </cell>
          <cell r="E570" t="str">
            <v>AI推理卡</v>
          </cell>
          <cell r="F570">
            <v>6.3E-3</v>
          </cell>
          <cell r="G570">
            <v>4</v>
          </cell>
          <cell r="I570" t="str">
            <v>99-002652</v>
          </cell>
        </row>
        <row r="571">
          <cell r="B571" t="str">
            <v>302-002652</v>
          </cell>
          <cell r="C571" t="str">
            <v>NVIDIA-Tesla T4 计算卡-16GB 半高半长</v>
          </cell>
          <cell r="D571" t="str">
            <v>900-2G183-0000-001</v>
          </cell>
          <cell r="E571" t="str">
            <v>AI推理卡</v>
          </cell>
          <cell r="F571">
            <v>6.3E-3</v>
          </cell>
          <cell r="G571">
            <v>4</v>
          </cell>
          <cell r="I571" t="str">
            <v>99-002652</v>
          </cell>
        </row>
        <row r="572">
          <cell r="B572" t="str">
            <v>302-000874</v>
          </cell>
          <cell r="C572" t="str">
            <v>2*16X SLOT (PCIE X8) RISER3卡-A722</v>
          </cell>
          <cell r="D572" t="str">
            <v>02312QGH</v>
          </cell>
          <cell r="E572" t="str">
            <v>Riser模组</v>
          </cell>
          <cell r="F572">
            <v>5.0000000000000001E-3</v>
          </cell>
          <cell r="G572">
            <v>2067</v>
          </cell>
          <cell r="I572" t="str">
            <v>99-000149</v>
          </cell>
        </row>
        <row r="573">
          <cell r="B573" t="str">
            <v>302-002058</v>
          </cell>
          <cell r="C573" t="str">
            <v>蝴蝶riser-PCIe-2*16X+4*8X</v>
          </cell>
          <cell r="D573">
            <v>2580015</v>
          </cell>
          <cell r="E573" t="str">
            <v>Riser模组</v>
          </cell>
          <cell r="F573">
            <v>5.0000000000000001E-3</v>
          </cell>
          <cell r="G573">
            <v>696</v>
          </cell>
        </row>
        <row r="574">
          <cell r="B574" t="str">
            <v>302-001001</v>
          </cell>
          <cell r="C574" t="str">
            <v>4*SAS/SATA/NVME后置硬盘背板-R72X/R52X</v>
          </cell>
          <cell r="D574" t="str">
            <v>02313GHC</v>
          </cell>
          <cell r="E574" t="str">
            <v>后置硬盘背板</v>
          </cell>
          <cell r="F574">
            <v>2.8999999999999998E-3</v>
          </cell>
          <cell r="G574">
            <v>71</v>
          </cell>
          <cell r="I574" t="str">
            <v>99-000297</v>
          </cell>
        </row>
        <row r="575">
          <cell r="B575" t="str">
            <v>302-000886</v>
          </cell>
          <cell r="C575" t="str">
            <v>网卡CX4-ACAT-2*25G-SFP28-PCIE3.0X8-不含模</v>
          </cell>
          <cell r="D575" t="str">
            <v>02311UPK</v>
          </cell>
          <cell r="E575" t="str">
            <v>网卡</v>
          </cell>
          <cell r="F575">
            <v>5.7999999999999996E-3</v>
          </cell>
          <cell r="G575">
            <v>17</v>
          </cell>
        </row>
        <row r="576">
          <cell r="B576" t="str">
            <v>302-002101</v>
          </cell>
          <cell r="C576" t="str">
            <v>网卡SF200HT-A-2*1Gb-RJ45-PCIe2.0x4 WX</v>
          </cell>
          <cell r="D576">
            <v>5018600012</v>
          </cell>
          <cell r="E576" t="str">
            <v>网卡</v>
          </cell>
          <cell r="F576">
            <v>5.7999999999999996E-3</v>
          </cell>
          <cell r="G576">
            <v>3272</v>
          </cell>
          <cell r="I576" t="str">
            <v>99-001866</v>
          </cell>
        </row>
        <row r="577">
          <cell r="B577" t="str">
            <v>302-001866</v>
          </cell>
          <cell r="C577" t="str">
            <v>网卡SF200HT-2*1Gb-RJ45-PCIe2.0 WX</v>
          </cell>
          <cell r="D577" t="str">
            <v>SF200HT</v>
          </cell>
          <cell r="E577" t="str">
            <v>网卡</v>
          </cell>
          <cell r="F577">
            <v>5.7999999999999996E-3</v>
          </cell>
          <cell r="G577">
            <v>706</v>
          </cell>
          <cell r="I577" t="str">
            <v>99-001866</v>
          </cell>
        </row>
        <row r="578">
          <cell r="B578" t="str">
            <v>302-002025</v>
          </cell>
          <cell r="C578" t="str">
            <v>Atlas300V视频x16-24G-72W-SWHHHL半高+全高挡片</v>
          </cell>
          <cell r="D578" t="str">
            <v>02314GPV</v>
          </cell>
          <cell r="E578" t="str">
            <v>AI推理卡</v>
          </cell>
          <cell r="F578">
            <v>6.3E-3</v>
          </cell>
          <cell r="G578">
            <v>1790</v>
          </cell>
          <cell r="I578" t="str">
            <v>99-001842</v>
          </cell>
        </row>
        <row r="579">
          <cell r="B579" t="str">
            <v>302-001842</v>
          </cell>
          <cell r="C579" t="str">
            <v>AI卡Atlas 300V x16(HHHL)LDDR4*24GB</v>
          </cell>
          <cell r="D579" t="str">
            <v>02314FUE</v>
          </cell>
          <cell r="E579" t="str">
            <v>AI推理卡</v>
          </cell>
          <cell r="F579">
            <v>6.3E-3</v>
          </cell>
          <cell r="G579">
            <v>97</v>
          </cell>
          <cell r="I579" t="str">
            <v>99-001842</v>
          </cell>
        </row>
        <row r="580">
          <cell r="B580" t="str">
            <v>302-002054</v>
          </cell>
          <cell r="C580" t="str">
            <v>S硬盘4T-3.5SATA-6G7.2K-256M-XJ V1.1</v>
          </cell>
          <cell r="D580" t="str">
            <v>2HZ100-803</v>
          </cell>
          <cell r="E580" t="str">
            <v>硬盘</v>
          </cell>
          <cell r="F580">
            <v>5.4999999999999997E-3</v>
          </cell>
          <cell r="G580">
            <v>69</v>
          </cell>
          <cell r="I580" t="str">
            <v>99-001049</v>
          </cell>
        </row>
        <row r="581">
          <cell r="B581" t="str">
            <v>302-002076</v>
          </cell>
          <cell r="C581" t="str">
            <v>网卡SC382-2*25GE-SFP28-PCIe3.0x8-无模</v>
          </cell>
          <cell r="D581" t="str">
            <v>03027VTB</v>
          </cell>
          <cell r="E581" t="str">
            <v>网卡</v>
          </cell>
          <cell r="F581">
            <v>5.7999999999999996E-3</v>
          </cell>
          <cell r="G581">
            <v>0</v>
          </cell>
        </row>
        <row r="582">
          <cell r="B582" t="str">
            <v>302-002077</v>
          </cell>
          <cell r="C582" t="str">
            <v>#模组Riser1&amp;2-2*8X+1*16X-OEM专用</v>
          </cell>
          <cell r="D582" t="str">
            <v>02313YGG</v>
          </cell>
          <cell r="E582" t="str">
            <v>Riser模组</v>
          </cell>
          <cell r="F582">
            <v>5.0000000000000001E-3</v>
          </cell>
          <cell r="G582">
            <v>0</v>
          </cell>
        </row>
        <row r="583">
          <cell r="B583" t="str">
            <v>302-002080</v>
          </cell>
          <cell r="C583" t="str">
            <v>NVMeSSD UH811a-3.84TB-PCIe4-2.5读取YL-Y</v>
          </cell>
          <cell r="D583" t="str">
            <v>1003-00439</v>
          </cell>
          <cell r="E583" t="str">
            <v>硬盘</v>
          </cell>
          <cell r="F583">
            <v>5.4999999999999997E-3</v>
          </cell>
          <cell r="G583">
            <v>1936</v>
          </cell>
          <cell r="I583" t="str">
            <v>99-002080</v>
          </cell>
        </row>
        <row r="584">
          <cell r="B584" t="str">
            <v>302-002114</v>
          </cell>
          <cell r="C584" t="str">
            <v>SSD UM511a-3.84TB-SAS3.0-2.5读取YL-[AVAP]</v>
          </cell>
          <cell r="D584" t="str">
            <v>1003-00590</v>
          </cell>
          <cell r="E584" t="str">
            <v>硬盘</v>
          </cell>
          <cell r="F584">
            <v>5.4999999999999997E-3</v>
          </cell>
          <cell r="G584">
            <v>48</v>
          </cell>
          <cell r="I584" t="str">
            <v>99-002114</v>
          </cell>
        </row>
        <row r="585">
          <cell r="B585" t="str">
            <v>302-002407</v>
          </cell>
          <cell r="C585" t="str">
            <v>NVMeSSD UH711a-1.92TB-U.2-PCle4-2.5读取YL</v>
          </cell>
          <cell r="D585" t="str">
            <v>UP2A61T9SD004LX</v>
          </cell>
          <cell r="E585" t="str">
            <v>硬盘</v>
          </cell>
          <cell r="F585">
            <v>5.4999999999999997E-3</v>
          </cell>
          <cell r="G585">
            <v>720</v>
          </cell>
          <cell r="I585" t="str">
            <v>99-002079</v>
          </cell>
        </row>
        <row r="586">
          <cell r="B586" t="str">
            <v>302-002443</v>
          </cell>
          <cell r="C586" t="str">
            <v>AI卡Atlas 300I Pro-24G LPDDR4x-72W-SWHHHL</v>
          </cell>
          <cell r="D586" t="str">
            <v>02314MXR</v>
          </cell>
          <cell r="E586" t="str">
            <v>AI推理卡</v>
          </cell>
          <cell r="F586">
            <v>6.3E-3</v>
          </cell>
          <cell r="G586">
            <v>2855</v>
          </cell>
          <cell r="I586" t="str">
            <v>99-001626</v>
          </cell>
        </row>
        <row r="587">
          <cell r="B587" t="str">
            <v>302-002435</v>
          </cell>
          <cell r="C587" t="str">
            <v>Atlas 300I Pro-24G-LPDDR4X-72W-SWHHHL</v>
          </cell>
          <cell r="D587" t="str">
            <v>02314MXM</v>
          </cell>
          <cell r="E587" t="str">
            <v>AI推理卡</v>
          </cell>
          <cell r="F587">
            <v>6.3E-3</v>
          </cell>
          <cell r="G587">
            <v>37</v>
          </cell>
          <cell r="I587" t="str">
            <v>99-001626</v>
          </cell>
        </row>
        <row r="588">
          <cell r="B588" t="str">
            <v>302-000857</v>
          </cell>
          <cell r="C588" t="str">
            <v>Internal Mini SAS HD 线-1.0m-R62X</v>
          </cell>
          <cell r="D588" t="str">
            <v>04051916-009</v>
          </cell>
          <cell r="E588" t="str">
            <v>线缆</v>
          </cell>
          <cell r="F588">
            <v>2E-3</v>
          </cell>
          <cell r="G588">
            <v>6127</v>
          </cell>
        </row>
        <row r="589">
          <cell r="B589" t="str">
            <v>302-000305</v>
          </cell>
          <cell r="C589" t="str">
            <v>Mini SAS HD 4i 高速电缆-0.98m&amp;0.82m</v>
          </cell>
          <cell r="D589" t="str">
            <v>04051934-001</v>
          </cell>
          <cell r="E589" t="str">
            <v>线缆</v>
          </cell>
          <cell r="F589">
            <v>2E-3</v>
          </cell>
          <cell r="G589">
            <v>5052</v>
          </cell>
        </row>
        <row r="590">
          <cell r="B590" t="str">
            <v>302-002051</v>
          </cell>
          <cell r="C590" t="str">
            <v>S硬盘8T-3.5SATA-6G7.2K-256M-XS V1.1</v>
          </cell>
          <cell r="D590" t="str">
            <v>0B36440</v>
          </cell>
          <cell r="E590" t="str">
            <v>硬盘</v>
          </cell>
          <cell r="F590">
            <v>5.4999999999999997E-3</v>
          </cell>
          <cell r="G590">
            <v>34</v>
          </cell>
          <cell r="I590" t="str">
            <v>99-004046</v>
          </cell>
        </row>
        <row r="591">
          <cell r="B591" t="str">
            <v>302-002106</v>
          </cell>
          <cell r="C591" t="str">
            <v>SSD PM897-1.92TB-SATA 2.5读写-SX V1.0</v>
          </cell>
          <cell r="D591" t="str">
            <v>MZ7L31T9HBNA-00A07</v>
          </cell>
          <cell r="E591" t="str">
            <v>硬盘</v>
          </cell>
          <cell r="F591">
            <v>5.4999999999999997E-3</v>
          </cell>
          <cell r="G591">
            <v>2145</v>
          </cell>
          <cell r="I591" t="str">
            <v>99-001400</v>
          </cell>
        </row>
        <row r="592">
          <cell r="B592" t="str">
            <v>302-001773</v>
          </cell>
          <cell r="C592" t="str">
            <v>TM272板载灵活网卡-100GE-双端口QSFP28</v>
          </cell>
          <cell r="D592" t="str">
            <v>02314BCU</v>
          </cell>
          <cell r="E592" t="str">
            <v>灵活网卡</v>
          </cell>
          <cell r="F592">
            <v>5.7999999999999996E-3</v>
          </cell>
          <cell r="G592">
            <v>16</v>
          </cell>
        </row>
        <row r="593">
          <cell r="B593" t="str">
            <v>302-001774</v>
          </cell>
          <cell r="C593" t="str">
            <v>Riser3模组 2*16X SLOT (PCIE X8)</v>
          </cell>
          <cell r="D593" t="str">
            <v>02314BCR</v>
          </cell>
          <cell r="E593" t="str">
            <v>Riser模组</v>
          </cell>
          <cell r="F593">
            <v>5.0000000000000001E-3</v>
          </cell>
          <cell r="G593">
            <v>5</v>
          </cell>
        </row>
        <row r="594">
          <cell r="B594" t="str">
            <v>302-002467</v>
          </cell>
          <cell r="C594" t="str">
            <v>AI卡Atlas 300V Pro-48G LPDDR4x-72W-SWHHHL</v>
          </cell>
          <cell r="D594" t="str">
            <v>02314MYL</v>
          </cell>
          <cell r="E594" t="str">
            <v>AI推理卡</v>
          </cell>
          <cell r="F594">
            <v>6.3E-3</v>
          </cell>
          <cell r="G594">
            <v>17</v>
          </cell>
          <cell r="I594" t="str">
            <v>99-002442</v>
          </cell>
        </row>
        <row r="595">
          <cell r="B595" t="str">
            <v>302-002442</v>
          </cell>
          <cell r="C595" t="str">
            <v>AI卡Atlas 300V Pro-48G LPDDR4x-72W-SWHHHL</v>
          </cell>
          <cell r="D595" t="str">
            <v>02314MYK</v>
          </cell>
          <cell r="E595" t="str">
            <v>AI推理卡</v>
          </cell>
          <cell r="F595">
            <v>6.3E-3</v>
          </cell>
          <cell r="G595">
            <v>159</v>
          </cell>
          <cell r="I595" t="str">
            <v>99-002442</v>
          </cell>
        </row>
        <row r="596">
          <cell r="B596" t="str">
            <v>302-002559</v>
          </cell>
          <cell r="C596" t="str">
            <v>AI卡Atlas 300VPro x16(HHHL)LPDDR4x*48G-YJ</v>
          </cell>
          <cell r="D596" t="str">
            <v>02314MYS</v>
          </cell>
          <cell r="E596" t="str">
            <v>AI推理卡</v>
          </cell>
          <cell r="F596">
            <v>6.3E-3</v>
          </cell>
          <cell r="G596">
            <v>0</v>
          </cell>
          <cell r="I596" t="str">
            <v>99-002442</v>
          </cell>
        </row>
        <row r="597">
          <cell r="B597" t="str">
            <v>302-002538</v>
          </cell>
          <cell r="C597" t="str">
            <v>RISER卡模组（8SAS+12NVMe机箱）</v>
          </cell>
          <cell r="D597" t="str">
            <v>02580287</v>
          </cell>
          <cell r="E597" t="str">
            <v>Riser模组</v>
          </cell>
          <cell r="F597">
            <v>5.0000000000000001E-3</v>
          </cell>
          <cell r="G597">
            <v>124</v>
          </cell>
        </row>
        <row r="598">
          <cell r="B598" t="str">
            <v>302-002026</v>
          </cell>
          <cell r="C598" t="str">
            <v>Atlas 300T训练x16-32G-HBM-300W-DWFHFL</v>
          </cell>
          <cell r="D598" t="str">
            <v>02313DCD</v>
          </cell>
          <cell r="E598" t="str">
            <v>AI推理卡</v>
          </cell>
          <cell r="F598">
            <v>6.3E-3</v>
          </cell>
          <cell r="G598">
            <v>8</v>
          </cell>
        </row>
        <row r="599">
          <cell r="B599" t="str">
            <v>302-001770</v>
          </cell>
          <cell r="C599" t="str">
            <v>Rise1&amp;2模组 1*16X+1*8X SLOT-支持双宽GPU</v>
          </cell>
          <cell r="D599">
            <v>2580145</v>
          </cell>
          <cell r="E599" t="str">
            <v>Riser模组</v>
          </cell>
          <cell r="F599">
            <v>5.0000000000000001E-3</v>
          </cell>
          <cell r="G599">
            <v>149</v>
          </cell>
          <cell r="I599" t="str">
            <v>99-001770</v>
          </cell>
        </row>
        <row r="600">
          <cell r="B600" t="str">
            <v>302-000166</v>
          </cell>
          <cell r="C600" t="str">
            <v>IB卡CX5-100G单口QSFP28-全高拉手条-PCIE3.0x16-不含模</v>
          </cell>
          <cell r="D600">
            <v>2570013</v>
          </cell>
          <cell r="E600" t="str">
            <v>IB卡</v>
          </cell>
          <cell r="F600">
            <v>4.0000000000000001E-3</v>
          </cell>
          <cell r="G600">
            <v>2</v>
          </cell>
        </row>
        <row r="601">
          <cell r="B601" t="str">
            <v>302-001875</v>
          </cell>
          <cell r="C601" t="str">
            <v>RAID标卡9560-16i-8G-PCIe4.0x8-HHHL</v>
          </cell>
          <cell r="D601" t="str">
            <v>9560-16I</v>
          </cell>
          <cell r="E601" t="str">
            <v>RAID卡</v>
          </cell>
          <cell r="F601">
            <v>7.7999999999999996E-3</v>
          </cell>
          <cell r="G601">
            <v>62</v>
          </cell>
          <cell r="I601" t="str">
            <v>99-001875</v>
          </cell>
        </row>
        <row r="602">
          <cell r="B602" t="str">
            <v>302-002611</v>
          </cell>
          <cell r="C602" t="str">
            <v>RAID标卡9560-16i-8G PCIe4.0x8 NMP-BT</v>
          </cell>
          <cell r="D602" t="str">
            <v>9560-16I</v>
          </cell>
          <cell r="E602" t="str">
            <v>RAID卡</v>
          </cell>
          <cell r="F602">
            <v>7.7999999999999996E-3</v>
          </cell>
          <cell r="G602">
            <v>23</v>
          </cell>
          <cell r="I602" t="str">
            <v>99-001875</v>
          </cell>
        </row>
        <row r="603">
          <cell r="B603" t="str">
            <v>304-000185</v>
          </cell>
          <cell r="C603" t="str">
            <v>2*SATA+8*SAS/SATA SSD风冷机箱,4*920,4* 910 B</v>
          </cell>
          <cell r="D603" t="str">
            <v>02314AXH</v>
          </cell>
          <cell r="E603" t="str">
            <v>L6典配</v>
          </cell>
          <cell r="F603">
            <v>2.8999999999999998E-3</v>
          </cell>
          <cell r="G603">
            <v>2</v>
          </cell>
        </row>
        <row r="604">
          <cell r="B604" t="str">
            <v>302-000179</v>
          </cell>
          <cell r="C604" t="str">
            <v>高速电缆内部Mini SAS HD 0.9m 弯-直</v>
          </cell>
          <cell r="D604" t="str">
            <v>04051916-015</v>
          </cell>
          <cell r="E604" t="str">
            <v>线缆</v>
          </cell>
          <cell r="F604">
            <v>2E-3</v>
          </cell>
          <cell r="G604">
            <v>7607</v>
          </cell>
          <cell r="I604" t="str">
            <v>99-000179</v>
          </cell>
        </row>
        <row r="605">
          <cell r="B605" t="str">
            <v>302-001054</v>
          </cell>
          <cell r="C605" t="str">
            <v>硬盘1200G-SAS 12Gb/s-10K-2.5无托 XJ</v>
          </cell>
          <cell r="D605" t="str">
            <v>ST1200MM0129</v>
          </cell>
          <cell r="E605" t="str">
            <v>硬盘</v>
          </cell>
          <cell r="F605">
            <v>5.4999999999999997E-3</v>
          </cell>
          <cell r="G605">
            <v>6</v>
          </cell>
          <cell r="I605" t="str">
            <v>99-001040</v>
          </cell>
        </row>
        <row r="606">
          <cell r="B606" t="str">
            <v>302-002105</v>
          </cell>
          <cell r="C606" t="str">
            <v>SSD PM897-960GB-SATA 2.5读写-SX V1.0</v>
          </cell>
          <cell r="D606" t="str">
            <v>MZ7L3960HBLT-00A07</v>
          </cell>
          <cell r="E606" t="str">
            <v>硬盘</v>
          </cell>
          <cell r="F606">
            <v>5.4999999999999997E-3</v>
          </cell>
          <cell r="G606">
            <v>185</v>
          </cell>
          <cell r="I606" t="str">
            <v>99-002105</v>
          </cell>
        </row>
        <row r="607">
          <cell r="B607" t="str">
            <v>302-000784</v>
          </cell>
          <cell r="C607" t="str">
            <v>网卡 MCX515A-CCAT 100G单口QSFP28</v>
          </cell>
          <cell r="D607" t="str">
            <v>MCX515A-CCAT</v>
          </cell>
          <cell r="E607" t="str">
            <v>网卡</v>
          </cell>
          <cell r="F607">
            <v>5.7999999999999996E-3</v>
          </cell>
          <cell r="G607">
            <v>1404</v>
          </cell>
          <cell r="I607" t="str">
            <v>99-001105</v>
          </cell>
        </row>
        <row r="608">
          <cell r="B608" t="str">
            <v>302-002130</v>
          </cell>
          <cell r="C608" t="str">
            <v>S电源线欧标-C14直公-C13直母-250V10A-5M黑-交流</v>
          </cell>
          <cell r="D608" t="str">
            <v>C2460007</v>
          </cell>
          <cell r="E608" t="str">
            <v>电源线</v>
          </cell>
          <cell r="F608">
            <v>2E-3</v>
          </cell>
          <cell r="G608">
            <v>8128</v>
          </cell>
        </row>
        <row r="609">
          <cell r="B609" t="str">
            <v>302-002655</v>
          </cell>
          <cell r="C609" t="str">
            <v>SSD PM897-480GB-SATA 2.5-读写 SX</v>
          </cell>
          <cell r="D609" t="str">
            <v>MZ7L3480HBLT-00B7C</v>
          </cell>
          <cell r="E609" t="str">
            <v>硬盘</v>
          </cell>
          <cell r="F609">
            <v>5.4999999999999997E-3</v>
          </cell>
          <cell r="G609">
            <v>52</v>
          </cell>
          <cell r="I609" t="str">
            <v>99-002104</v>
          </cell>
        </row>
        <row r="610">
          <cell r="B610" t="str">
            <v>302-002104</v>
          </cell>
          <cell r="C610" t="str">
            <v>SSD PM897-480GB-SATA 2.5读写-SX V1.0</v>
          </cell>
          <cell r="D610" t="str">
            <v>MZ7L3480HBLT-00A07</v>
          </cell>
          <cell r="E610" t="str">
            <v>硬盘</v>
          </cell>
          <cell r="F610">
            <v>5.4999999999999997E-3</v>
          </cell>
          <cell r="G610">
            <v>303</v>
          </cell>
          <cell r="I610" t="str">
            <v>99-002104</v>
          </cell>
        </row>
        <row r="611">
          <cell r="B611" t="str">
            <v>302-001161</v>
          </cell>
          <cell r="C611" t="str">
            <v>NVIDIA-Tesla T4 计算卡-16GB 半高半长</v>
          </cell>
          <cell r="D611" t="str">
            <v>900-2G183-0000-000</v>
          </cell>
          <cell r="E611" t="str">
            <v>AI推理卡</v>
          </cell>
          <cell r="F611">
            <v>6.3E-3</v>
          </cell>
          <cell r="G611">
            <v>3</v>
          </cell>
          <cell r="I611" t="str">
            <v>99-002652</v>
          </cell>
        </row>
        <row r="612">
          <cell r="B612" t="str">
            <v>302-002660</v>
          </cell>
          <cell r="C612" t="str">
            <v>4U机箱前置硬盘背板-24</v>
          </cell>
          <cell r="D612" t="str">
            <v>03029TSF</v>
          </cell>
          <cell r="E612" t="str">
            <v>机箱/硬盘背板</v>
          </cell>
          <cell r="F612">
            <v>2.8999999999999998E-3</v>
          </cell>
          <cell r="G612">
            <v>0</v>
          </cell>
          <cell r="I612" t="str">
            <v>88-002660</v>
          </cell>
        </row>
        <row r="613">
          <cell r="B613" t="str">
            <v>302-001692</v>
          </cell>
          <cell r="C613" t="str">
            <v>机箱 36*3.5硬盘EXP 4U2P-无RAID SAS线1620S</v>
          </cell>
          <cell r="D613" t="str">
            <v>02314CRE</v>
          </cell>
          <cell r="E613" t="str">
            <v>机箱/硬盘背板</v>
          </cell>
          <cell r="F613">
            <v>2.8999999999999998E-3</v>
          </cell>
          <cell r="G613">
            <v>2910</v>
          </cell>
          <cell r="I613" t="str">
            <v>88-002660</v>
          </cell>
        </row>
        <row r="614">
          <cell r="B614" t="str">
            <v>302-001698</v>
          </cell>
          <cell r="C614" t="str">
            <v>机箱 36*3.5硬盘EXP 4U2P-无RAID SAS线</v>
          </cell>
          <cell r="D614" t="str">
            <v>02314CRF</v>
          </cell>
          <cell r="E614" t="str">
            <v>机箱/硬盘背板</v>
          </cell>
          <cell r="F614">
            <v>2.8999999999999998E-3</v>
          </cell>
          <cell r="G614">
            <v>1296</v>
          </cell>
          <cell r="I614" t="str">
            <v>88-002660</v>
          </cell>
        </row>
        <row r="615">
          <cell r="B615" t="str">
            <v>302-002128</v>
          </cell>
          <cell r="C615" t="str">
            <v>网卡X540-T2-2*10G-RJ45-PCIe2.0x8 Ceacent</v>
          </cell>
          <cell r="D615" t="str">
            <v>CEACENT X540-T2</v>
          </cell>
          <cell r="E615" t="str">
            <v>网卡</v>
          </cell>
          <cell r="F615">
            <v>5.7999999999999996E-3</v>
          </cell>
          <cell r="G615">
            <v>358</v>
          </cell>
        </row>
        <row r="616">
          <cell r="B616" t="str">
            <v>302-002107</v>
          </cell>
          <cell r="C616" t="str">
            <v>SSD PM897-3.84TB-SATA 2.5读写-SX V1.0</v>
          </cell>
          <cell r="D616" t="str">
            <v>MZ7L33T8HBNA-00A07</v>
          </cell>
          <cell r="E616" t="str">
            <v>硬盘</v>
          </cell>
          <cell r="F616">
            <v>5.4999999999999997E-3</v>
          </cell>
          <cell r="G616">
            <v>109</v>
          </cell>
          <cell r="I616" t="str">
            <v>99-000864</v>
          </cell>
        </row>
        <row r="617">
          <cell r="B617" t="str">
            <v>302-002081</v>
          </cell>
          <cell r="C617" t="str">
            <v>NVMeSSD UH831a-1.6TB-NVMe4-2.5读写YL-Y</v>
          </cell>
          <cell r="D617" t="str">
            <v>RP2A21T6RK004VX</v>
          </cell>
          <cell r="E617" t="str">
            <v>硬盘</v>
          </cell>
          <cell r="F617">
            <v>5.4999999999999997E-3</v>
          </cell>
          <cell r="G617">
            <v>971</v>
          </cell>
          <cell r="I617" t="str">
            <v>99-002081</v>
          </cell>
        </row>
        <row r="618">
          <cell r="B618" t="str">
            <v>302-002096</v>
          </cell>
          <cell r="C618" t="str">
            <v>灵活网卡TM282-2*25GE/10GE-SFP28-无模</v>
          </cell>
          <cell r="D618" t="str">
            <v>03028HPA</v>
          </cell>
          <cell r="E618" t="str">
            <v>灵活网卡</v>
          </cell>
          <cell r="F618">
            <v>5.7999999999999996E-3</v>
          </cell>
          <cell r="G618">
            <v>76</v>
          </cell>
        </row>
        <row r="619">
          <cell r="B619" t="str">
            <v>302-002109</v>
          </cell>
          <cell r="C619" t="str">
            <v>SSD PM9A3-7.68TB-NVMe4.0-2.5读取SX V1.0</v>
          </cell>
          <cell r="D619" t="str">
            <v>MZQL27T6HBLA-00B7C</v>
          </cell>
          <cell r="E619" t="str">
            <v>硬盘</v>
          </cell>
          <cell r="F619">
            <v>5.4999999999999997E-3</v>
          </cell>
          <cell r="G619">
            <v>17</v>
          </cell>
        </row>
        <row r="620">
          <cell r="B620" t="str">
            <v>302-002083</v>
          </cell>
          <cell r="C620" t="str">
            <v>NVMeSSD UH831a-3.2TB-PCIe4-2.5读写YL-Y</v>
          </cell>
          <cell r="D620" t="str">
            <v>1003-00438</v>
          </cell>
          <cell r="E620" t="str">
            <v>硬盘</v>
          </cell>
          <cell r="F620">
            <v>5.4999999999999997E-3</v>
          </cell>
          <cell r="G620">
            <v>6254</v>
          </cell>
          <cell r="I620" t="str">
            <v>99-001121</v>
          </cell>
        </row>
        <row r="621">
          <cell r="B621" t="str">
            <v>302-001185</v>
          </cell>
          <cell r="C621" t="str">
            <v>SSD PM893-960G-SATA-6G-2.5读取SX V1.0</v>
          </cell>
          <cell r="D621" t="str">
            <v>MZ7L3960HCJR-00B7C</v>
          </cell>
          <cell r="E621" t="str">
            <v>硬盘</v>
          </cell>
          <cell r="F621">
            <v>5.4999999999999997E-3</v>
          </cell>
          <cell r="G621">
            <v>2710</v>
          </cell>
          <cell r="I621" t="str">
            <v>99-001016</v>
          </cell>
        </row>
        <row r="622">
          <cell r="B622" t="str">
            <v>302-002253</v>
          </cell>
          <cell r="C622" t="str">
            <v>网卡10Gb双口SFP+Mellanox MT27712A0+2光模</v>
          </cell>
          <cell r="D622" t="str">
            <v>2570012/510601297</v>
          </cell>
          <cell r="E622" t="str">
            <v>网卡</v>
          </cell>
          <cell r="F622">
            <v>5.7999999999999996E-3</v>
          </cell>
          <cell r="G622">
            <v>2</v>
          </cell>
          <cell r="I622" t="str">
            <v>99-000160</v>
          </cell>
        </row>
        <row r="623">
          <cell r="B623" t="str">
            <v>302-001186</v>
          </cell>
          <cell r="C623" t="str">
            <v>SSD PM893-480G-SATA-6G-2.5读取SX V1.0</v>
          </cell>
          <cell r="D623" t="str">
            <v>MZ7L3480HCHQ-00B7C</v>
          </cell>
          <cell r="E623" t="str">
            <v>硬盘</v>
          </cell>
          <cell r="F623">
            <v>5.4999999999999997E-3</v>
          </cell>
          <cell r="G623">
            <v>1378</v>
          </cell>
          <cell r="I623" t="str">
            <v>99-000750</v>
          </cell>
        </row>
        <row r="624">
          <cell r="B624" t="str">
            <v>302-002115</v>
          </cell>
          <cell r="C624" t="str">
            <v>SSD UM511a-3.84TB-SAS3.0-2.5读取YL (废弃料号)</v>
          </cell>
          <cell r="D624" t="str">
            <v>1003-00590</v>
          </cell>
          <cell r="E624" t="str">
            <v>硬盘</v>
          </cell>
          <cell r="F624">
            <v>5.4999999999999997E-3</v>
          </cell>
          <cell r="G624">
            <v>13</v>
          </cell>
          <cell r="I624" t="str">
            <v>99-002114</v>
          </cell>
        </row>
        <row r="625">
          <cell r="B625" t="str">
            <v>302-000875</v>
          </cell>
          <cell r="C625" t="str">
            <v>3*16X SLOT(PCIE X8)DMINI RISER1&amp;2卡-A722</v>
          </cell>
          <cell r="D625" t="str">
            <v>02312RAT</v>
          </cell>
          <cell r="E625" t="str">
            <v>Riser模组</v>
          </cell>
          <cell r="F625">
            <v>5.0000000000000001E-3</v>
          </cell>
          <cell r="G625">
            <v>3</v>
          </cell>
        </row>
        <row r="626">
          <cell r="B626" t="str">
            <v>302-000249</v>
          </cell>
          <cell r="C626" t="str">
            <v>高速电缆 Mini SAS HD Cable-0.63m</v>
          </cell>
          <cell r="D626">
            <v>4051018</v>
          </cell>
          <cell r="E626" t="str">
            <v>线缆</v>
          </cell>
          <cell r="F626">
            <v>2E-3</v>
          </cell>
          <cell r="G626">
            <v>895</v>
          </cell>
        </row>
        <row r="627">
          <cell r="B627" t="str">
            <v>302-000250</v>
          </cell>
          <cell r="C627" t="str">
            <v>高速电缆 Mini SAS HD Cable-0.75m</v>
          </cell>
          <cell r="D627">
            <v>4051020</v>
          </cell>
          <cell r="E627" t="str">
            <v>线缆</v>
          </cell>
          <cell r="F627">
            <v>2E-3</v>
          </cell>
          <cell r="G627">
            <v>58</v>
          </cell>
        </row>
        <row r="628">
          <cell r="B628" t="str">
            <v>302-000251</v>
          </cell>
          <cell r="C628" t="str">
            <v>高速电缆 Mini SAS HD Cable-0.85m</v>
          </cell>
          <cell r="D628">
            <v>4051021</v>
          </cell>
          <cell r="E628" t="str">
            <v>线缆</v>
          </cell>
          <cell r="F628">
            <v>2E-3</v>
          </cell>
          <cell r="G628">
            <v>50040</v>
          </cell>
          <cell r="I628" t="str">
            <v>99-000251</v>
          </cell>
        </row>
        <row r="629">
          <cell r="B629" t="str">
            <v>302-000253</v>
          </cell>
          <cell r="C629" t="str">
            <v>IT设备电缆-信号线缆-0.3m</v>
          </cell>
          <cell r="D629" t="str">
            <v>04051923</v>
          </cell>
          <cell r="E629" t="str">
            <v>线缆</v>
          </cell>
          <cell r="F629">
            <v>2E-3</v>
          </cell>
          <cell r="G629">
            <v>1392</v>
          </cell>
          <cell r="I629" t="str">
            <v>99-000253</v>
          </cell>
        </row>
        <row r="630">
          <cell r="B630" t="str">
            <v>302-000257</v>
          </cell>
          <cell r="C630" t="str">
            <v>监控和告警电缆-信号电缆-0.3m-带屏蔽</v>
          </cell>
          <cell r="D630">
            <v>4080588</v>
          </cell>
          <cell r="E630" t="str">
            <v>线缆</v>
          </cell>
          <cell r="F630">
            <v>2E-3</v>
          </cell>
          <cell r="G630">
            <v>31</v>
          </cell>
        </row>
        <row r="631">
          <cell r="B631" t="str">
            <v>302-000259</v>
          </cell>
          <cell r="C631" t="str">
            <v>电源电缆-0.3m-14pin 4.2转14pin 3.0</v>
          </cell>
          <cell r="D631">
            <v>4152703</v>
          </cell>
          <cell r="E631" t="str">
            <v>线缆</v>
          </cell>
          <cell r="F631">
            <v>2E-3</v>
          </cell>
          <cell r="G631">
            <v>1379</v>
          </cell>
          <cell r="I631" t="str">
            <v>99-000259</v>
          </cell>
        </row>
        <row r="632">
          <cell r="B632" t="str">
            <v>302-000260</v>
          </cell>
          <cell r="C632" t="str">
            <v>电源电缆-0.3m-14pin 3.0转20pin 3.0</v>
          </cell>
          <cell r="D632">
            <v>4152704</v>
          </cell>
          <cell r="E632" t="str">
            <v>线缆</v>
          </cell>
          <cell r="F632">
            <v>2E-3</v>
          </cell>
          <cell r="G632">
            <v>31</v>
          </cell>
        </row>
        <row r="633">
          <cell r="B633" t="str">
            <v>302-000306</v>
          </cell>
          <cell r="C633" t="str">
            <v>内部PCIe高速线缆-0.85m&amp;0.82m&amp;0.73m</v>
          </cell>
          <cell r="D633" t="str">
            <v>04052103-003</v>
          </cell>
          <cell r="E633" t="str">
            <v>线缆</v>
          </cell>
          <cell r="F633">
            <v>2E-3</v>
          </cell>
          <cell r="G633">
            <v>27</v>
          </cell>
        </row>
        <row r="634">
          <cell r="B634" t="str">
            <v>302-000470</v>
          </cell>
          <cell r="C634" t="str">
            <v>电缆-SlimLine-Riser2-背板-R62X</v>
          </cell>
          <cell r="D634" t="str">
            <v>04052818</v>
          </cell>
          <cell r="E634" t="str">
            <v>线缆</v>
          </cell>
          <cell r="F634">
            <v>2E-3</v>
          </cell>
          <cell r="G634">
            <v>4</v>
          </cell>
        </row>
        <row r="635">
          <cell r="B635" t="str">
            <v>302-000307</v>
          </cell>
          <cell r="C635" t="str">
            <v>内部PCIe高速线缆-0.75m&amp;0.84m&amp;0.92m</v>
          </cell>
          <cell r="D635" t="str">
            <v>04052104-002</v>
          </cell>
          <cell r="E635" t="str">
            <v>线缆</v>
          </cell>
          <cell r="F635">
            <v>2E-3</v>
          </cell>
          <cell r="G635">
            <v>27</v>
          </cell>
        </row>
        <row r="636">
          <cell r="B636" t="str">
            <v>302-000471</v>
          </cell>
          <cell r="C636" t="str">
            <v>电缆-SlimLine-Riser1_背板-R62X</v>
          </cell>
          <cell r="D636">
            <v>4052817</v>
          </cell>
          <cell r="E636" t="str">
            <v>线缆</v>
          </cell>
          <cell r="F636">
            <v>2E-3</v>
          </cell>
          <cell r="G636">
            <v>4</v>
          </cell>
        </row>
        <row r="637">
          <cell r="B637" t="str">
            <v>302-000308</v>
          </cell>
          <cell r="C637" t="str">
            <v>监控和告警电缆-信号电缆-0.3m</v>
          </cell>
          <cell r="D637" t="str">
            <v>04080550-002</v>
          </cell>
          <cell r="E637" t="str">
            <v>线缆</v>
          </cell>
          <cell r="F637">
            <v>2E-3</v>
          </cell>
          <cell r="G637">
            <v>4114</v>
          </cell>
        </row>
        <row r="638">
          <cell r="B638" t="str">
            <v>302-000311</v>
          </cell>
          <cell r="C638" t="str">
            <v>电源电缆-0.30m</v>
          </cell>
          <cell r="D638" t="str">
            <v>04152145-004</v>
          </cell>
          <cell r="E638" t="str">
            <v>线缆</v>
          </cell>
          <cell r="F638">
            <v>2E-3</v>
          </cell>
          <cell r="G638">
            <v>4266</v>
          </cell>
          <cell r="I638" t="str">
            <v>99-000311</v>
          </cell>
        </row>
        <row r="639">
          <cell r="B639" t="str">
            <v>302-000475</v>
          </cell>
          <cell r="C639" t="str">
            <v>电缆-电源(14P_20P)-背板-R62X</v>
          </cell>
          <cell r="D639" t="str">
            <v>04152704-001</v>
          </cell>
          <cell r="E639" t="str">
            <v>线缆</v>
          </cell>
          <cell r="F639">
            <v>2E-3</v>
          </cell>
          <cell r="G639">
            <v>14</v>
          </cell>
          <cell r="I639" t="str">
            <v>99-003471</v>
          </cell>
        </row>
        <row r="640">
          <cell r="B640" t="str">
            <v>302-000726</v>
          </cell>
          <cell r="C640" t="str">
            <v>Mini SAS 4i线0.86m-4U-EXP-S920X00</v>
          </cell>
          <cell r="D640">
            <v>4051078</v>
          </cell>
          <cell r="E640" t="str">
            <v>线缆</v>
          </cell>
          <cell r="F640">
            <v>2E-3</v>
          </cell>
          <cell r="G640">
            <v>48</v>
          </cell>
        </row>
        <row r="641">
          <cell r="B641" t="str">
            <v>302-000729</v>
          </cell>
          <cell r="C641" t="str">
            <v>IT信号线0.36m-EXP-S920X00/S00</v>
          </cell>
          <cell r="D641">
            <v>4052311</v>
          </cell>
          <cell r="E641" t="str">
            <v>线缆</v>
          </cell>
          <cell r="F641">
            <v>2E-3</v>
          </cell>
          <cell r="G641">
            <v>785</v>
          </cell>
        </row>
        <row r="642">
          <cell r="B642" t="str">
            <v>302-000730</v>
          </cell>
          <cell r="C642" t="str">
            <v>IT信号线0.75m-4U-EXP-S920X00</v>
          </cell>
          <cell r="D642">
            <v>4052357</v>
          </cell>
          <cell r="E642" t="str">
            <v>线缆</v>
          </cell>
          <cell r="F642">
            <v>2E-3</v>
          </cell>
          <cell r="G642">
            <v>48</v>
          </cell>
        </row>
        <row r="643">
          <cell r="B643" t="str">
            <v>302-000731</v>
          </cell>
          <cell r="C643" t="str">
            <v>监控告警信号线0.55m-EXP-S920X00/S00</v>
          </cell>
          <cell r="D643">
            <v>4080650</v>
          </cell>
          <cell r="E643" t="str">
            <v>线缆</v>
          </cell>
          <cell r="F643">
            <v>2E-3</v>
          </cell>
          <cell r="G643">
            <v>785</v>
          </cell>
        </row>
        <row r="644">
          <cell r="B644" t="str">
            <v>302-000733</v>
          </cell>
          <cell r="C644" t="str">
            <v>电源电缆-0.3m-S920X00-4U-EXP</v>
          </cell>
          <cell r="D644">
            <v>4152702</v>
          </cell>
          <cell r="E644" t="str">
            <v>线缆</v>
          </cell>
          <cell r="F644">
            <v>2E-3</v>
          </cell>
          <cell r="G644">
            <v>48</v>
          </cell>
        </row>
        <row r="645">
          <cell r="B645" t="str">
            <v>302-000734</v>
          </cell>
          <cell r="C645" t="str">
            <v>电源电缆-1.0m&amp;0.5m-S920X00-4U- EXP</v>
          </cell>
          <cell r="D645">
            <v>4153000</v>
          </cell>
          <cell r="E645" t="str">
            <v>线缆</v>
          </cell>
          <cell r="F645">
            <v>2E-3</v>
          </cell>
          <cell r="G645">
            <v>48</v>
          </cell>
        </row>
        <row r="646">
          <cell r="B646" t="str">
            <v>302-000858</v>
          </cell>
          <cell r="C646" t="str">
            <v>Internal Mini SAS HD 线-0.8m-R62X</v>
          </cell>
          <cell r="D646" t="str">
            <v>04051916-014</v>
          </cell>
          <cell r="E646" t="str">
            <v>线缆</v>
          </cell>
          <cell r="F646">
            <v>2E-3</v>
          </cell>
          <cell r="G646">
            <v>9</v>
          </cell>
        </row>
        <row r="647">
          <cell r="B647" t="str">
            <v>302-000859</v>
          </cell>
          <cell r="C647" t="str">
            <v>高速电缆 Mini SAS HD Cable-0.95m</v>
          </cell>
          <cell r="D647">
            <v>4051390</v>
          </cell>
          <cell r="E647" t="str">
            <v>线缆</v>
          </cell>
          <cell r="F647">
            <v>2E-3</v>
          </cell>
          <cell r="G647">
            <v>22</v>
          </cell>
        </row>
        <row r="648">
          <cell r="B648" t="str">
            <v>302-001382</v>
          </cell>
          <cell r="C648" t="str">
            <v>风扇-风扇框-2480-BC8M01FAN-6038</v>
          </cell>
          <cell r="D648" t="str">
            <v>02312VDV</v>
          </cell>
          <cell r="E648" t="str">
            <v>风扇</v>
          </cell>
          <cell r="F648">
            <v>2.8999999999999998E-3</v>
          </cell>
          <cell r="G648">
            <v>29</v>
          </cell>
          <cell r="I648" t="str">
            <v>99-001382</v>
          </cell>
        </row>
        <row r="649">
          <cell r="B649" t="str">
            <v>302-001393</v>
          </cell>
          <cell r="C649" t="str">
            <v>低速信号线-主板到前置硬盘背板-0.2m</v>
          </cell>
          <cell r="D649">
            <v>4080651</v>
          </cell>
          <cell r="E649" t="str">
            <v>线缆</v>
          </cell>
          <cell r="F649">
            <v>2E-3</v>
          </cell>
          <cell r="G649">
            <v>2</v>
          </cell>
        </row>
        <row r="650">
          <cell r="B650" t="str">
            <v>302-001776</v>
          </cell>
          <cell r="C650" t="str">
            <v>监控和告警电缆-信号电缆-0.45m</v>
          </cell>
          <cell r="D650" t="str">
            <v>04080651-007</v>
          </cell>
          <cell r="E650" t="str">
            <v>线缆</v>
          </cell>
          <cell r="F650">
            <v>2E-3</v>
          </cell>
          <cell r="G650">
            <v>14</v>
          </cell>
          <cell r="I650" t="str">
            <v>99-003470</v>
          </cell>
        </row>
        <row r="651">
          <cell r="B651" t="str">
            <v>302-001820</v>
          </cell>
          <cell r="C651" t="str">
            <v>信号线-左挂耳-0.45m</v>
          </cell>
          <cell r="D651" t="str">
            <v>04080650-005</v>
          </cell>
          <cell r="E651" t="str">
            <v>线缆</v>
          </cell>
          <cell r="F651">
            <v>2E-3</v>
          </cell>
          <cell r="G651">
            <v>25</v>
          </cell>
          <cell r="I651" t="str">
            <v>99-001820</v>
          </cell>
        </row>
        <row r="652">
          <cell r="B652" t="str">
            <v>302-001823</v>
          </cell>
          <cell r="C652" t="str">
            <v>低速信号线-主板到电源转接板-0.2m</v>
          </cell>
          <cell r="D652" t="str">
            <v>04080554-002</v>
          </cell>
          <cell r="E652" t="str">
            <v>线缆</v>
          </cell>
          <cell r="F652">
            <v>2E-3</v>
          </cell>
          <cell r="G652">
            <v>2</v>
          </cell>
        </row>
        <row r="653">
          <cell r="B653" t="str">
            <v>302-001824</v>
          </cell>
          <cell r="C653" t="str">
            <v>电源线-主板到电源转接板-0.18m</v>
          </cell>
          <cell r="D653" t="str">
            <v>04152142-007</v>
          </cell>
          <cell r="E653" t="str">
            <v>线缆</v>
          </cell>
          <cell r="F653">
            <v>2E-3</v>
          </cell>
          <cell r="G653">
            <v>2</v>
          </cell>
        </row>
        <row r="654">
          <cell r="B654" t="str">
            <v>302-001825</v>
          </cell>
          <cell r="C654" t="str">
            <v>电源接口板-IT21IPWA-1*2</v>
          </cell>
          <cell r="D654" t="str">
            <v>03027QJC</v>
          </cell>
          <cell r="E654" t="str">
            <v>电源背板</v>
          </cell>
          <cell r="F654">
            <v>2.8999999999999998E-3</v>
          </cell>
          <cell r="G654">
            <v>2</v>
          </cell>
        </row>
        <row r="655">
          <cell r="B655" t="str">
            <v>302-001826</v>
          </cell>
          <cell r="C655" t="str">
            <v>SAS信号线-Slimline-0.4m&amp;0.25m</v>
          </cell>
          <cell r="D655">
            <v>4052651</v>
          </cell>
          <cell r="E655" t="str">
            <v>线缆</v>
          </cell>
          <cell r="F655">
            <v>2E-3</v>
          </cell>
          <cell r="G655">
            <v>2</v>
          </cell>
        </row>
        <row r="656">
          <cell r="B656" t="str">
            <v>302-001827</v>
          </cell>
          <cell r="C656" t="str">
            <v>SAS信号线-Slimline-0.3m&amp;0.36m</v>
          </cell>
          <cell r="D656">
            <v>4052650</v>
          </cell>
          <cell r="E656" t="str">
            <v>线缆</v>
          </cell>
          <cell r="F656">
            <v>2E-3</v>
          </cell>
          <cell r="G656">
            <v>2</v>
          </cell>
        </row>
        <row r="657">
          <cell r="B657" t="str">
            <v>302-001828</v>
          </cell>
          <cell r="C657" t="str">
            <v>电源线-转接板到前置背板-0.12m</v>
          </cell>
          <cell r="D657" t="str">
            <v>04152145-012</v>
          </cell>
          <cell r="E657" t="str">
            <v>线缆</v>
          </cell>
          <cell r="F657">
            <v>2E-3</v>
          </cell>
          <cell r="G657">
            <v>2</v>
          </cell>
        </row>
        <row r="658">
          <cell r="B658" t="str">
            <v>302-001829</v>
          </cell>
          <cell r="C658" t="str">
            <v>信号线-右挂耳-0.3m</v>
          </cell>
          <cell r="D658">
            <v>4052653</v>
          </cell>
          <cell r="E658" t="str">
            <v>线缆</v>
          </cell>
          <cell r="F658">
            <v>2E-3</v>
          </cell>
          <cell r="G658">
            <v>2</v>
          </cell>
        </row>
        <row r="659">
          <cell r="B659" t="str">
            <v>302-001831</v>
          </cell>
          <cell r="C659" t="str">
            <v>电源背板-BC11PSBP-1*2</v>
          </cell>
          <cell r="D659" t="str">
            <v>03022JMK</v>
          </cell>
          <cell r="E659" t="str">
            <v>电源背板</v>
          </cell>
          <cell r="F659">
            <v>2.8999999999999998E-3</v>
          </cell>
          <cell r="G659">
            <v>24</v>
          </cell>
        </row>
        <row r="660">
          <cell r="B660" t="str">
            <v>302-001832</v>
          </cell>
          <cell r="C660" t="str">
            <v>低速信号线-主板到前置背板-0.56m</v>
          </cell>
          <cell r="D660">
            <v>4051052</v>
          </cell>
          <cell r="E660" t="str">
            <v>线缆</v>
          </cell>
          <cell r="F660">
            <v>2E-3</v>
          </cell>
          <cell r="G660">
            <v>24</v>
          </cell>
        </row>
        <row r="661">
          <cell r="B661" t="str">
            <v>302-001833</v>
          </cell>
          <cell r="C661" t="str">
            <v>电源线-主板到前置背板-0.45m</v>
          </cell>
          <cell r="D661">
            <v>4150997</v>
          </cell>
          <cell r="E661" t="str">
            <v>线缆</v>
          </cell>
          <cell r="F661">
            <v>2E-3</v>
          </cell>
          <cell r="G661">
            <v>24</v>
          </cell>
        </row>
        <row r="662">
          <cell r="B662" t="str">
            <v>302-001834</v>
          </cell>
          <cell r="C662" t="str">
            <v>信号线-左挂耳-0.6m</v>
          </cell>
          <cell r="D662">
            <v>4051006</v>
          </cell>
          <cell r="E662" t="str">
            <v>线缆</v>
          </cell>
          <cell r="F662">
            <v>2E-3</v>
          </cell>
          <cell r="G662">
            <v>15</v>
          </cell>
        </row>
        <row r="663">
          <cell r="B663" t="str">
            <v>302-001835</v>
          </cell>
          <cell r="C663" t="str">
            <v>S916右挂耳-BC11RCIB</v>
          </cell>
          <cell r="D663" t="str">
            <v>03022JLQ</v>
          </cell>
          <cell r="E663" t="str">
            <v>挂耳</v>
          </cell>
          <cell r="F663">
            <v>1.6000000000000001E-3</v>
          </cell>
          <cell r="G663">
            <v>24</v>
          </cell>
        </row>
        <row r="664">
          <cell r="B664" t="str">
            <v>302-001836</v>
          </cell>
          <cell r="C664" t="str">
            <v>S916左挂耳-BC11LCIB</v>
          </cell>
          <cell r="D664" t="str">
            <v>03022JLM</v>
          </cell>
          <cell r="E664" t="str">
            <v>挂耳</v>
          </cell>
          <cell r="F664">
            <v>1.6000000000000001E-3</v>
          </cell>
          <cell r="G664">
            <v>24</v>
          </cell>
        </row>
        <row r="665">
          <cell r="B665" t="str">
            <v>302-001838</v>
          </cell>
          <cell r="C665" t="str">
            <v>电源线-主板到前置背板-0.5m</v>
          </cell>
          <cell r="D665" t="str">
            <v>04152145-009</v>
          </cell>
          <cell r="E665" t="str">
            <v>线缆</v>
          </cell>
          <cell r="F665">
            <v>2E-3</v>
          </cell>
          <cell r="G665">
            <v>16</v>
          </cell>
        </row>
        <row r="666">
          <cell r="B666" t="str">
            <v>302-001839</v>
          </cell>
          <cell r="C666" t="str">
            <v>电源背板-BC82PBPA</v>
          </cell>
          <cell r="D666" t="str">
            <v>03026YVK</v>
          </cell>
          <cell r="E666" t="str">
            <v>电源背板</v>
          </cell>
          <cell r="F666">
            <v>2.8999999999999998E-3</v>
          </cell>
          <cell r="G666">
            <v>30</v>
          </cell>
        </row>
        <row r="667">
          <cell r="B667" t="str">
            <v>302-001840</v>
          </cell>
          <cell r="C667" t="str">
            <v>信号线-右挂耳-0.7m</v>
          </cell>
          <cell r="D667">
            <v>4052595</v>
          </cell>
          <cell r="E667" t="str">
            <v>线缆</v>
          </cell>
          <cell r="F667">
            <v>2E-3</v>
          </cell>
          <cell r="G667">
            <v>23</v>
          </cell>
          <cell r="I667" t="str">
            <v>99-001840</v>
          </cell>
        </row>
        <row r="668">
          <cell r="B668" t="str">
            <v>302-001841</v>
          </cell>
          <cell r="C668" t="str">
            <v>信号线-右挂耳-0.5m</v>
          </cell>
          <cell r="D668">
            <v>4051026</v>
          </cell>
          <cell r="E668" t="str">
            <v>线缆</v>
          </cell>
          <cell r="F668">
            <v>2E-3</v>
          </cell>
          <cell r="G668">
            <v>15</v>
          </cell>
        </row>
        <row r="669">
          <cell r="B669" t="str">
            <v>302-000309</v>
          </cell>
          <cell r="C669" t="str">
            <v>左挂耳线缆-监控和告警-0.72m</v>
          </cell>
          <cell r="D669" t="str">
            <v>04080650-001</v>
          </cell>
          <cell r="E669" t="str">
            <v>线缆</v>
          </cell>
          <cell r="F669">
            <v>2E-3</v>
          </cell>
          <cell r="G669">
            <v>440</v>
          </cell>
        </row>
        <row r="670">
          <cell r="B670" t="str">
            <v>302-000158</v>
          </cell>
          <cell r="C670" t="str">
            <v>网卡25GE/10GE两口SFP28全高HHHLx8</v>
          </cell>
          <cell r="D670" t="str">
            <v>02312VRN</v>
          </cell>
          <cell r="E670" t="str">
            <v>网卡</v>
          </cell>
          <cell r="F670">
            <v>5.7999999999999996E-3</v>
          </cell>
          <cell r="G670">
            <v>80</v>
          </cell>
          <cell r="I670" t="str">
            <v>99-000739</v>
          </cell>
        </row>
        <row r="671">
          <cell r="B671" t="str">
            <v>302-002554</v>
          </cell>
          <cell r="C671" t="str">
            <v>NVMeSSD J5310-3.2T-AIC-PCIe4-读写DPW</v>
          </cell>
          <cell r="D671" t="str">
            <v>DPJD4204T0T803T200</v>
          </cell>
          <cell r="E671" t="str">
            <v>硬盘</v>
          </cell>
          <cell r="F671">
            <v>5.4999999999999997E-3</v>
          </cell>
          <cell r="G671">
            <v>24</v>
          </cell>
        </row>
        <row r="672">
          <cell r="B672" t="str">
            <v>302-002738</v>
          </cell>
          <cell r="C672" t="str">
            <v>S主板 S920X00-2*5255F(48C@3.0GHz)-AQ</v>
          </cell>
          <cell r="D672" t="str">
            <v>03050LWN</v>
          </cell>
          <cell r="E672" t="str">
            <v>主板</v>
          </cell>
          <cell r="F672">
            <v>8.5000000000000006E-3</v>
          </cell>
          <cell r="G672">
            <v>51</v>
          </cell>
          <cell r="I672" t="str">
            <v>99-002738</v>
          </cell>
        </row>
        <row r="673">
          <cell r="B673" t="str">
            <v>302-001180</v>
          </cell>
          <cell r="C673" t="str">
            <v>网卡 RP1000P2SFP-A （03版）10Gb 双口SFP+</v>
          </cell>
          <cell r="D673" t="str">
            <v>RP1000P2SFP-A(03)</v>
          </cell>
          <cell r="E673" t="str">
            <v>网卡</v>
          </cell>
          <cell r="F673">
            <v>5.7999999999999996E-3</v>
          </cell>
          <cell r="G673">
            <v>2</v>
          </cell>
          <cell r="I673" t="str">
            <v>99-003035</v>
          </cell>
        </row>
        <row r="674">
          <cell r="B674" t="str">
            <v>302-002623</v>
          </cell>
          <cell r="C674" t="str">
            <v>制成板-TaiShan 2280 V2-BC82LCIA-左用户接口板-4*2</v>
          </cell>
          <cell r="D674" t="str">
            <v>03025VYY</v>
          </cell>
          <cell r="E674" t="str">
            <v>挂耳</v>
          </cell>
          <cell r="F674">
            <v>1.6000000000000001E-3</v>
          </cell>
          <cell r="G674">
            <v>2548</v>
          </cell>
          <cell r="I674" t="str">
            <v>99-000491</v>
          </cell>
        </row>
        <row r="675">
          <cell r="B675" t="str">
            <v>302-001189</v>
          </cell>
          <cell r="C675" t="str">
            <v>AI模块-Atlas 200 AI加速模块-8G 内存</v>
          </cell>
          <cell r="D675" t="str">
            <v>02312JPN</v>
          </cell>
          <cell r="E675" t="str">
            <v>AI推理卡</v>
          </cell>
          <cell r="F675">
            <v>6.3E-3</v>
          </cell>
          <cell r="G675">
            <v>16</v>
          </cell>
        </row>
        <row r="676">
          <cell r="B676" t="str">
            <v>302-002086</v>
          </cell>
          <cell r="C676" t="str">
            <v>NVMeSSD UH811a-7.68TB-PCIe4-2.5读取YL-K</v>
          </cell>
          <cell r="D676" t="str">
            <v>RP2A37T6RK004LX</v>
          </cell>
          <cell r="E676" t="str">
            <v>硬盘</v>
          </cell>
          <cell r="F676">
            <v>5.4999999999999997E-3</v>
          </cell>
          <cell r="G676">
            <v>2635</v>
          </cell>
          <cell r="I676" t="str">
            <v>99-002086</v>
          </cell>
        </row>
        <row r="677">
          <cell r="B677" t="str">
            <v>302-000654</v>
          </cell>
          <cell r="C677" t="str">
            <v>SSD PM1735读写-1.6TB-NVMe HHHL AIC SX</v>
          </cell>
          <cell r="D677" t="str">
            <v>MZPLJ1T6HBJR</v>
          </cell>
          <cell r="E677" t="str">
            <v>硬盘</v>
          </cell>
          <cell r="F677">
            <v>5.4999999999999997E-3</v>
          </cell>
          <cell r="G677">
            <v>2</v>
          </cell>
        </row>
        <row r="678">
          <cell r="B678" t="str">
            <v>302-002505</v>
          </cell>
          <cell r="C678" t="str">
            <v>机箱2U2P-4SAS+8NVME硬盘直通标准机箱（白牌）-X10-天池</v>
          </cell>
          <cell r="D678" t="str">
            <v>02314MNY</v>
          </cell>
          <cell r="E678" t="str">
            <v>机箱/硬盘背板</v>
          </cell>
          <cell r="F678">
            <v>2.8999999999999998E-3</v>
          </cell>
          <cell r="G678">
            <v>612</v>
          </cell>
          <cell r="I678" t="str">
            <v>88-002692</v>
          </cell>
        </row>
        <row r="679">
          <cell r="B679" t="str">
            <v>302-002401</v>
          </cell>
          <cell r="C679" t="str">
            <v>SSD UH610a-1.92TB-SAS3.0-2.5读取YL</v>
          </cell>
          <cell r="D679" t="str">
            <v>RA2101T9RK003LX</v>
          </cell>
          <cell r="E679" t="str">
            <v>硬盘</v>
          </cell>
          <cell r="F679">
            <v>5.4999999999999997E-3</v>
          </cell>
          <cell r="G679">
            <v>187</v>
          </cell>
          <cell r="I679" t="str">
            <v>99-002401</v>
          </cell>
        </row>
        <row r="680">
          <cell r="B680" t="str">
            <v>302-002798</v>
          </cell>
          <cell r="C680" t="str">
            <v>12*3.5 inch HDD 双RAID Expander硬盘背板</v>
          </cell>
          <cell r="D680">
            <v>6030682</v>
          </cell>
          <cell r="E680" t="str">
            <v>机箱/硬盘背板</v>
          </cell>
          <cell r="F680">
            <v>2.8999999999999998E-3</v>
          </cell>
          <cell r="G680">
            <v>2876</v>
          </cell>
          <cell r="I680" t="str">
            <v>88-002798</v>
          </cell>
        </row>
        <row r="681">
          <cell r="B681" t="str">
            <v>302-002814</v>
          </cell>
          <cell r="C681" t="str">
            <v>2U2P白牌机箱-12*3.5EXP-S00（无背板）</v>
          </cell>
          <cell r="D681" t="str">
            <v>02314HVK</v>
          </cell>
          <cell r="E681" t="str">
            <v>机箱/硬盘背板</v>
          </cell>
          <cell r="F681">
            <v>2.8999999999999998E-3</v>
          </cell>
          <cell r="G681">
            <v>2056</v>
          </cell>
        </row>
        <row r="682">
          <cell r="B682" t="str">
            <v>302-002449</v>
          </cell>
          <cell r="C682" t="str">
            <v>S电源PAC900S12-B2-900W-HP交流-铂金（EP）</v>
          </cell>
          <cell r="D682" t="str">
            <v>PAC900S12-B2</v>
          </cell>
          <cell r="E682" t="str">
            <v>电源</v>
          </cell>
          <cell r="F682">
            <v>5.0000000000000001E-3</v>
          </cell>
          <cell r="G682">
            <v>496</v>
          </cell>
          <cell r="I682" t="str">
            <v>99-000448</v>
          </cell>
        </row>
        <row r="683">
          <cell r="B683" t="str">
            <v>302-002624</v>
          </cell>
          <cell r="C683" t="str">
            <v>制成板-TaiShan 2280 V2-BC82RCIB-右用户接口板-5*2</v>
          </cell>
          <cell r="D683" t="str">
            <v>03026HRE</v>
          </cell>
          <cell r="E683" t="str">
            <v>挂耳</v>
          </cell>
          <cell r="F683">
            <v>1.6000000000000001E-3</v>
          </cell>
          <cell r="G683">
            <v>5</v>
          </cell>
          <cell r="I683" t="str">
            <v>99-000717</v>
          </cell>
        </row>
        <row r="684">
          <cell r="B684" t="str">
            <v>302-001109</v>
          </cell>
          <cell r="C684" t="str">
            <v>SSSTC SSD-480GB-SATA读取2.5无托</v>
          </cell>
          <cell r="D684" t="str">
            <v>ER2-CD480A</v>
          </cell>
          <cell r="E684" t="str">
            <v>硬盘</v>
          </cell>
          <cell r="F684">
            <v>5.4999999999999997E-3</v>
          </cell>
          <cell r="G684">
            <v>1</v>
          </cell>
          <cell r="I684" t="str">
            <v>99-000750</v>
          </cell>
        </row>
        <row r="685">
          <cell r="B685" t="str">
            <v>302-002694</v>
          </cell>
          <cell r="C685" t="str">
            <v>SSD S4520-1.92T-SATA-2.5 读取 Intel</v>
          </cell>
          <cell r="D685" t="str">
            <v>SSDSC2KB019TZ</v>
          </cell>
          <cell r="E685" t="str">
            <v>硬盘</v>
          </cell>
          <cell r="F685">
            <v>5.4999999999999997E-3</v>
          </cell>
          <cell r="G685">
            <v>14976</v>
          </cell>
          <cell r="I685" t="str">
            <v>99-001670</v>
          </cell>
        </row>
        <row r="686">
          <cell r="B686" t="str">
            <v>302-001768</v>
          </cell>
          <cell r="C686" t="str">
            <v>Riser3模组 2*16X SLOT (PCIE X8)</v>
          </cell>
          <cell r="D686" t="str">
            <v>02312NFW</v>
          </cell>
          <cell r="E686" t="str">
            <v>Riser模组</v>
          </cell>
          <cell r="F686">
            <v>5.0000000000000001E-3</v>
          </cell>
          <cell r="G686">
            <v>88</v>
          </cell>
          <cell r="I686" t="str">
            <v>99-000149</v>
          </cell>
        </row>
        <row r="687">
          <cell r="B687" t="str">
            <v>302-002123</v>
          </cell>
          <cell r="C687" t="str">
            <v>S内存DDR4-32G-3200-2Rx8-RD ECC V1.0</v>
          </cell>
          <cell r="D687" t="str">
            <v>06200444-002</v>
          </cell>
          <cell r="E687" t="str">
            <v>内存</v>
          </cell>
          <cell r="F687">
            <v>2E-3</v>
          </cell>
          <cell r="G687">
            <v>0</v>
          </cell>
        </row>
        <row r="688">
          <cell r="B688" t="str">
            <v>302-002669</v>
          </cell>
          <cell r="C688" t="str">
            <v>网卡 RP1000P2SFP-A（02版）10Gb 双口SFP+ -HW</v>
          </cell>
          <cell r="D688" t="str">
            <v>06310308</v>
          </cell>
          <cell r="E688" t="str">
            <v>网卡</v>
          </cell>
          <cell r="F688">
            <v>5.7999999999999996E-3</v>
          </cell>
          <cell r="G688">
            <v>11409</v>
          </cell>
        </row>
        <row r="689">
          <cell r="B689" t="str">
            <v>302-000796</v>
          </cell>
          <cell r="C689" t="str">
            <v>固态盘-480GB-SATA-读取-MG 5300 Pro-2.5托</v>
          </cell>
          <cell r="D689" t="str">
            <v>02313EYV</v>
          </cell>
          <cell r="E689" t="str">
            <v>硬盘</v>
          </cell>
          <cell r="F689">
            <v>5.4999999999999997E-3</v>
          </cell>
          <cell r="G689">
            <v>7</v>
          </cell>
          <cell r="I689" t="str">
            <v>99-000741</v>
          </cell>
        </row>
        <row r="690">
          <cell r="B690" t="str">
            <v>302-002588</v>
          </cell>
          <cell r="C690" t="str">
            <v>RAID标卡9560-16i-8G-PCIe4.0x8-HHHL BT</v>
          </cell>
          <cell r="D690" t="str">
            <v>02560105</v>
          </cell>
          <cell r="E690" t="str">
            <v>RAID卡</v>
          </cell>
          <cell r="F690">
            <v>7.7999999999999996E-3</v>
          </cell>
          <cell r="G690">
            <v>849</v>
          </cell>
          <cell r="I690" t="str">
            <v>99-001875</v>
          </cell>
        </row>
        <row r="691">
          <cell r="B691" t="str">
            <v>302-000167</v>
          </cell>
          <cell r="C691" t="str">
            <v>IB卡CX5-100G双口QSFP28-全高拉手条-PCIE3.0x16-不含模</v>
          </cell>
          <cell r="D691" t="str">
            <v>02570014</v>
          </cell>
          <cell r="E691" t="str">
            <v>IB卡</v>
          </cell>
          <cell r="F691">
            <v>4.0000000000000001E-3</v>
          </cell>
          <cell r="G691">
            <v>14</v>
          </cell>
        </row>
        <row r="692">
          <cell r="B692" t="str">
            <v>302-001112</v>
          </cell>
          <cell r="C692" t="str">
            <v>硬盘16T-SATA 6Gb/s-7.2K-3.5无托 XJ</v>
          </cell>
          <cell r="D692" t="str">
            <v>ST16000NM000J</v>
          </cell>
          <cell r="E692" t="str">
            <v>硬盘</v>
          </cell>
          <cell r="F692">
            <v>5.4999999999999997E-3</v>
          </cell>
          <cell r="G692">
            <v>57132</v>
          </cell>
          <cell r="I692" t="str">
            <v>99-001163</v>
          </cell>
        </row>
        <row r="693">
          <cell r="B693" t="str">
            <v>302-002753</v>
          </cell>
          <cell r="C693" t="str">
            <v>S主板 S920S00-2*3210 (24C@2.6)-AL-VE-1711</v>
          </cell>
          <cell r="D693" t="str">
            <v>03050MED</v>
          </cell>
          <cell r="E693" t="str">
            <v>主板</v>
          </cell>
          <cell r="F693">
            <v>8.5000000000000006E-3</v>
          </cell>
          <cell r="G693">
            <v>1010</v>
          </cell>
          <cell r="I693" t="str">
            <v>99-000707</v>
          </cell>
        </row>
        <row r="694">
          <cell r="B694" t="str">
            <v>302-002664</v>
          </cell>
          <cell r="C694" t="str">
            <v>NVMeSSD-D5447-1.6T-U.2-PCIe3-2.5-读写DERA</v>
          </cell>
          <cell r="D694" t="str">
            <v>P34YTM-01T6U-ST</v>
          </cell>
          <cell r="E694" t="str">
            <v>硬盘</v>
          </cell>
          <cell r="F694">
            <v>5.4999999999999997E-3</v>
          </cell>
          <cell r="G694">
            <v>120</v>
          </cell>
        </row>
        <row r="695">
          <cell r="B695" t="str">
            <v>302-001646</v>
          </cell>
          <cell r="C695" t="str">
            <v>网卡1Gb四口(Intel I350)-RJ45-PCIe 2.0 x4</v>
          </cell>
          <cell r="D695" t="str">
            <v>02570069</v>
          </cell>
          <cell r="E695" t="str">
            <v>网卡</v>
          </cell>
          <cell r="F695">
            <v>5.7999999999999996E-3</v>
          </cell>
          <cell r="G695">
            <v>10</v>
          </cell>
          <cell r="I695" t="str">
            <v>99-001646</v>
          </cell>
        </row>
        <row r="696">
          <cell r="B696" t="str">
            <v>302-002936</v>
          </cell>
          <cell r="C696" t="str">
            <v>SSD DTS510S00-480GB-SATA 6Gb-2.5-读取 DT</v>
          </cell>
          <cell r="D696" t="str">
            <v>J480GSBLT3C5CDED59</v>
          </cell>
          <cell r="E696" t="str">
            <v>硬盘</v>
          </cell>
          <cell r="F696">
            <v>5.4999999999999997E-3</v>
          </cell>
          <cell r="G696">
            <v>0</v>
          </cell>
          <cell r="I696" t="str">
            <v>99-000741</v>
          </cell>
        </row>
        <row r="697">
          <cell r="B697" t="str">
            <v>302-002739</v>
          </cell>
          <cell r="C697" t="str">
            <v>RAID标卡 3S585-16i-4G-PCIe4x8-FHHL 3SNIC</v>
          </cell>
          <cell r="D697" t="str">
            <v>3S585</v>
          </cell>
          <cell r="E697" t="str">
            <v>RAID卡</v>
          </cell>
          <cell r="F697">
            <v>7.7999999999999996E-3</v>
          </cell>
          <cell r="G697">
            <v>0</v>
          </cell>
        </row>
        <row r="698">
          <cell r="B698" t="str">
            <v>302-002744</v>
          </cell>
          <cell r="C698" t="str">
            <v>超级电容 DSCAP01-3S580/585/590/5A0/5A5</v>
          </cell>
          <cell r="D698" t="str">
            <v>DSCAP01</v>
          </cell>
          <cell r="E698" t="str">
            <v>超级电容</v>
          </cell>
          <cell r="F698">
            <v>3.2000000000000002E-3</v>
          </cell>
          <cell r="G698">
            <v>0</v>
          </cell>
        </row>
        <row r="699">
          <cell r="B699" t="str">
            <v>302-002037</v>
          </cell>
          <cell r="C699" t="str">
            <v>板对板UBC线缆-74-8X弯式-8X直式-25GB/s-200mm</v>
          </cell>
          <cell r="D699" t="str">
            <v>14270094</v>
          </cell>
          <cell r="E699" t="str">
            <v>线缆</v>
          </cell>
          <cell r="F699">
            <v>2E-3</v>
          </cell>
          <cell r="G699">
            <v>4034</v>
          </cell>
        </row>
        <row r="700">
          <cell r="B700" t="str">
            <v>302-001883</v>
          </cell>
          <cell r="C700" t="str">
            <v>Hi1711 BMC插卡</v>
          </cell>
          <cell r="D700" t="str">
            <v>0302023923</v>
          </cell>
          <cell r="E700" t="str">
            <v>小板</v>
          </cell>
          <cell r="F700">
            <v>8.5000000000000006E-3</v>
          </cell>
          <cell r="G700">
            <v>2790</v>
          </cell>
          <cell r="I700" t="str">
            <v>99-001883</v>
          </cell>
        </row>
        <row r="701">
          <cell r="B701" t="str">
            <v>302-001976</v>
          </cell>
          <cell r="C701" t="str">
            <v>AI卡Atlas300I Pro x16(HHHL)LPDDR4x*24G YJ</v>
          </cell>
          <cell r="D701" t="str">
            <v>02314HCW</v>
          </cell>
          <cell r="E701" t="str">
            <v>AI推理卡</v>
          </cell>
          <cell r="F701">
            <v>6.3E-3</v>
          </cell>
          <cell r="G701">
            <v>77</v>
          </cell>
          <cell r="I701" t="str">
            <v>99-001626</v>
          </cell>
        </row>
        <row r="702">
          <cell r="B702" t="str">
            <v>302-002419</v>
          </cell>
          <cell r="C702" t="str">
            <v>Atlas 200I DK A2 开发者套件</v>
          </cell>
          <cell r="D702" t="str">
            <v>02314LTX</v>
          </cell>
          <cell r="E702" t="str">
            <v>AI推理卡</v>
          </cell>
          <cell r="F702">
            <v>6.3E-3</v>
          </cell>
          <cell r="G702">
            <v>129</v>
          </cell>
        </row>
        <row r="703">
          <cell r="B703" t="str">
            <v>302-002430</v>
          </cell>
          <cell r="C703" t="str">
            <v>S硬盘8T-3.5SATA-6G-7.2K</v>
          </cell>
          <cell r="D703" t="str">
            <v>02540165</v>
          </cell>
          <cell r="E703" t="str">
            <v>硬盘</v>
          </cell>
          <cell r="F703">
            <v>5.4999999999999997E-3</v>
          </cell>
          <cell r="G703">
            <v>0</v>
          </cell>
          <cell r="I703" t="str">
            <v>99-001043</v>
          </cell>
        </row>
        <row r="704">
          <cell r="B704" t="str">
            <v>302-002928</v>
          </cell>
          <cell r="C704" t="str">
            <v>机箱 25*2.5"EXP 2U(3.0G CPU专用)(白牌),K22R-02</v>
          </cell>
          <cell r="D704" t="str">
            <v>02314KNR</v>
          </cell>
          <cell r="E704" t="str">
            <v>机箱/硬盘背板</v>
          </cell>
          <cell r="F704">
            <v>2.8999999999999998E-3</v>
          </cell>
          <cell r="G704">
            <v>1068</v>
          </cell>
          <cell r="I704" t="str">
            <v>88-000289</v>
          </cell>
        </row>
        <row r="705">
          <cell r="B705" t="str">
            <v>302-002638</v>
          </cell>
          <cell r="C705" t="str">
            <v>S主板 S920X00-2*7265F(64C@3.0)-AH-VD</v>
          </cell>
          <cell r="D705" t="str">
            <v>03050LWQ</v>
          </cell>
          <cell r="E705" t="str">
            <v>主板</v>
          </cell>
          <cell r="F705">
            <v>8.5000000000000006E-3</v>
          </cell>
          <cell r="G705">
            <v>1133</v>
          </cell>
          <cell r="I705" t="str">
            <v>99-001877</v>
          </cell>
        </row>
        <row r="706">
          <cell r="B706" t="str">
            <v>302-002385</v>
          </cell>
          <cell r="C706" t="str">
            <v>S主板S920X00-2*7265F(64C@3.0)AH-VD-1711-3A</v>
          </cell>
          <cell r="D706" t="str">
            <v>03050JAW</v>
          </cell>
          <cell r="E706" t="str">
            <v>主板</v>
          </cell>
          <cell r="F706">
            <v>8.5000000000000006E-3</v>
          </cell>
          <cell r="G706">
            <v>60</v>
          </cell>
          <cell r="I706" t="str">
            <v>99-001877</v>
          </cell>
        </row>
        <row r="707">
          <cell r="B707" t="str">
            <v>302-002079</v>
          </cell>
          <cell r="C707" t="str">
            <v>NVMeSSD UH811a-1.92TB-PCIe4-2.5读取YL-Y</v>
          </cell>
          <cell r="D707" t="str">
            <v>RP2A21T9RK004LX</v>
          </cell>
          <cell r="E707" t="str">
            <v>硬盘</v>
          </cell>
          <cell r="F707">
            <v>5.4999999999999997E-3</v>
          </cell>
          <cell r="G707">
            <v>472</v>
          </cell>
          <cell r="I707" t="str">
            <v>99-002079</v>
          </cell>
        </row>
        <row r="708">
          <cell r="B708" t="str">
            <v>302-002027</v>
          </cell>
          <cell r="C708" t="str">
            <v>Atlas300TPro训练-32G-HBM-300W-DWFHFL-X86</v>
          </cell>
          <cell r="D708" t="str">
            <v>02314BYC</v>
          </cell>
          <cell r="E708" t="str">
            <v>AI推理卡</v>
          </cell>
          <cell r="F708">
            <v>6.3E-3</v>
          </cell>
          <cell r="G708">
            <v>15</v>
          </cell>
        </row>
        <row r="709">
          <cell r="B709" t="str">
            <v>302-002785</v>
          </cell>
          <cell r="C709" t="str">
            <v>SSD UH611a-3.84TB-SAS3.0-2.5读取 YL</v>
          </cell>
          <cell r="D709" t="str">
            <v>RA2023T8RK003LX</v>
          </cell>
          <cell r="E709" t="str">
            <v>硬盘</v>
          </cell>
          <cell r="F709">
            <v>5.4999999999999997E-3</v>
          </cell>
          <cell r="G709">
            <v>8981</v>
          </cell>
          <cell r="I709" t="str">
            <v>99-000083</v>
          </cell>
        </row>
        <row r="710">
          <cell r="B710" t="str">
            <v>302-002348</v>
          </cell>
          <cell r="C710" t="str">
            <v>#S主板S920S00-2*5220(32C@2.6)-VD-1710-LJ</v>
          </cell>
          <cell r="D710" t="str">
            <v>03028DYD</v>
          </cell>
          <cell r="E710" t="str">
            <v>主板</v>
          </cell>
          <cell r="F710">
            <v>8.5000000000000006E-3</v>
          </cell>
          <cell r="G710">
            <v>17</v>
          </cell>
          <cell r="I710" t="str">
            <v>99-000708</v>
          </cell>
        </row>
        <row r="711">
          <cell r="B711" t="str">
            <v>302-002425</v>
          </cell>
          <cell r="C711" t="str">
            <v>SSD PM1735读写-6.4TB-NVMe HHHL AIC-V1.1</v>
          </cell>
          <cell r="D711" t="str">
            <v>MZPLJ6T4HALA-00007</v>
          </cell>
          <cell r="E711" t="str">
            <v>硬盘</v>
          </cell>
          <cell r="F711">
            <v>5.4999999999999997E-3</v>
          </cell>
          <cell r="G711">
            <v>1</v>
          </cell>
          <cell r="I711" t="str">
            <v>99-002428</v>
          </cell>
        </row>
        <row r="712">
          <cell r="B712" t="str">
            <v>302-000518</v>
          </cell>
          <cell r="C712" t="str">
            <v>网卡25Gb双光口 SFP28-MCX512A-ACUT</v>
          </cell>
          <cell r="D712" t="str">
            <v>2570023</v>
          </cell>
          <cell r="E712" t="str">
            <v>网卡</v>
          </cell>
          <cell r="F712">
            <v>5.7999999999999996E-3</v>
          </cell>
          <cell r="G712">
            <v>1895</v>
          </cell>
          <cell r="I712" t="str">
            <v>99-000786</v>
          </cell>
        </row>
        <row r="713">
          <cell r="B713" t="str">
            <v>302-002933</v>
          </cell>
          <cell r="C713" t="str">
            <v>AI卡Atlas300I A2-PCIe4x16-32G-350W-DWFHFL</v>
          </cell>
          <cell r="D713" t="str">
            <v>02314RAL</v>
          </cell>
          <cell r="E713" t="str">
            <v>AI推理卡</v>
          </cell>
          <cell r="F713">
            <v>6.3E-3</v>
          </cell>
          <cell r="G713">
            <v>5</v>
          </cell>
        </row>
        <row r="714">
          <cell r="B714" t="str">
            <v>302-002406</v>
          </cell>
          <cell r="C714" t="str">
            <v xml:space="preserve"> NVMeSSD UH711a-7.68TB-U.2-PCle4-2.5读取YL</v>
          </cell>
          <cell r="D714" t="str">
            <v>UP2A67T6SD004LX</v>
          </cell>
          <cell r="E714" t="str">
            <v>硬盘</v>
          </cell>
          <cell r="F714">
            <v>5.4999999999999997E-3</v>
          </cell>
          <cell r="G714">
            <v>36</v>
          </cell>
          <cell r="I714" t="str">
            <v>99-002086</v>
          </cell>
        </row>
        <row r="715">
          <cell r="B715" t="str">
            <v>302-003029</v>
          </cell>
          <cell r="C715" t="str">
            <v>25*2.5inch 盘双RAID EXP硬盘背板</v>
          </cell>
          <cell r="D715" t="str">
            <v>03029TDQ</v>
          </cell>
          <cell r="E715" t="str">
            <v>机箱/硬盘背板</v>
          </cell>
          <cell r="F715">
            <v>2.8999999999999998E-3</v>
          </cell>
          <cell r="G715">
            <v>0</v>
          </cell>
          <cell r="I715" t="str">
            <v>88-000289</v>
          </cell>
        </row>
        <row r="716">
          <cell r="B716" t="str">
            <v>302-002728</v>
          </cell>
          <cell r="C716" t="str">
            <v>网卡MCX623106AN-CDAT-2*100G-QSFP56-无模</v>
          </cell>
          <cell r="D716">
            <v>6310369</v>
          </cell>
          <cell r="E716" t="str">
            <v>网卡</v>
          </cell>
          <cell r="F716">
            <v>5.7999999999999996E-3</v>
          </cell>
          <cell r="G716">
            <v>0</v>
          </cell>
          <cell r="I716" t="str">
            <v>99-003021</v>
          </cell>
        </row>
        <row r="717">
          <cell r="B717" t="str">
            <v>302-002587</v>
          </cell>
          <cell r="C717" t="str">
            <v>背板-S920X00-12*3.5 双RAID EXP硬盘背板</v>
          </cell>
          <cell r="D717" t="str">
            <v>06411171</v>
          </cell>
          <cell r="E717" t="str">
            <v>机箱/硬盘背板</v>
          </cell>
          <cell r="F717">
            <v>2.8999999999999998E-3</v>
          </cell>
          <cell r="G717">
            <v>36</v>
          </cell>
          <cell r="I717" t="str">
            <v>88-000288</v>
          </cell>
        </row>
        <row r="718">
          <cell r="B718" t="str">
            <v>304-000356</v>
          </cell>
          <cell r="C718" t="str">
            <v>A924典配4U-8*2.5SATA+2*NVMe机箱-8*910_3</v>
          </cell>
          <cell r="D718" t="str">
            <v>02314PSS</v>
          </cell>
          <cell r="E718" t="str">
            <v>L6典配</v>
          </cell>
          <cell r="F718">
            <v>2.8999999999999998E-3</v>
          </cell>
          <cell r="G718">
            <v>1279</v>
          </cell>
        </row>
        <row r="719">
          <cell r="B719" t="str">
            <v>302-002711</v>
          </cell>
          <cell r="C719" t="str">
            <v>A924 A2-2*16X SLOT RISER2 模组</v>
          </cell>
          <cell r="D719" t="str">
            <v>02314GUE</v>
          </cell>
          <cell r="E719" t="str">
            <v>Riser模组</v>
          </cell>
          <cell r="F719">
            <v>5.0000000000000001E-3</v>
          </cell>
          <cell r="G719">
            <v>1561</v>
          </cell>
          <cell r="I719" t="str">
            <v>99-002711</v>
          </cell>
        </row>
        <row r="720">
          <cell r="B720" t="str">
            <v>302-002712</v>
          </cell>
          <cell r="C720" t="str">
            <v>A924 A2-2*16X SLOT RISER1 模组(SDI卡专用)</v>
          </cell>
          <cell r="D720" t="str">
            <v>02314GUD</v>
          </cell>
          <cell r="E720" t="str">
            <v>Riser模组</v>
          </cell>
          <cell r="F720">
            <v>5.0000000000000001E-3</v>
          </cell>
          <cell r="G720">
            <v>1561</v>
          </cell>
          <cell r="I720" t="str">
            <v>99-002712</v>
          </cell>
        </row>
        <row r="721">
          <cell r="B721" t="str">
            <v>302-002709</v>
          </cell>
          <cell r="C721" t="str">
            <v>灵活网卡-SF216D-H 200GE-双口-QSFP56</v>
          </cell>
          <cell r="D721" t="str">
            <v>0302045449</v>
          </cell>
          <cell r="E721" t="str">
            <v>灵活网卡</v>
          </cell>
          <cell r="F721">
            <v>5.7999999999999996E-3</v>
          </cell>
          <cell r="G721">
            <v>5708</v>
          </cell>
          <cell r="I721" t="str">
            <v>99-002709</v>
          </cell>
        </row>
        <row r="722">
          <cell r="B722" t="str">
            <v>302-002100</v>
          </cell>
          <cell r="C722" t="str">
            <v>S电源线国标-PI弯公-C19直母-250V16A-3m-交流</v>
          </cell>
          <cell r="D722" t="str">
            <v>04043396</v>
          </cell>
          <cell r="E722" t="str">
            <v>电源线</v>
          </cell>
          <cell r="F722">
            <v>2E-3</v>
          </cell>
          <cell r="G722">
            <v>6292</v>
          </cell>
          <cell r="I722" t="str">
            <v>99-002100</v>
          </cell>
        </row>
        <row r="723">
          <cell r="B723" t="str">
            <v>302-002110</v>
          </cell>
          <cell r="C723" t="str">
            <v>S电源线欧标-C20直公-C19直母-250V16A-3m-交流</v>
          </cell>
          <cell r="D723" t="str">
            <v>04050422</v>
          </cell>
          <cell r="E723" t="str">
            <v>电源线</v>
          </cell>
          <cell r="F723">
            <v>2E-3</v>
          </cell>
          <cell r="G723">
            <v>5886</v>
          </cell>
        </row>
        <row r="724">
          <cell r="B724" t="str">
            <v>302-002094</v>
          </cell>
          <cell r="C724" t="str">
            <v>服务器白金2600W 2.0版本交流电源</v>
          </cell>
          <cell r="D724" t="str">
            <v>02314FNU</v>
          </cell>
          <cell r="E724" t="str">
            <v>电源</v>
          </cell>
          <cell r="F724">
            <v>5.0000000000000001E-3</v>
          </cell>
          <cell r="G724">
            <v>6560</v>
          </cell>
        </row>
        <row r="725">
          <cell r="B725" t="str">
            <v>302-002726</v>
          </cell>
          <cell r="C725" t="str">
            <v>200G-SR4光模块-QSFP56-多模（850nm,0.1km,MPO)</v>
          </cell>
          <cell r="D725" t="str">
            <v>02313FHB</v>
          </cell>
          <cell r="E725" t="str">
            <v>光模块</v>
          </cell>
          <cell r="F725">
            <v>4.1999999999999997E-3</v>
          </cell>
          <cell r="G725">
            <v>900</v>
          </cell>
          <cell r="I725" t="str">
            <v>99-003018</v>
          </cell>
        </row>
        <row r="726">
          <cell r="B726" t="str">
            <v>302-002934</v>
          </cell>
          <cell r="C726" t="str">
            <v>灵活网卡-TM210 4*GE 接口卡</v>
          </cell>
          <cell r="D726">
            <v>302034300</v>
          </cell>
          <cell r="E726" t="str">
            <v>接口卡</v>
          </cell>
          <cell r="F726">
            <v>7.7999999999999996E-3</v>
          </cell>
          <cell r="G726">
            <v>20923</v>
          </cell>
          <cell r="I726" t="str">
            <v>99-000142</v>
          </cell>
        </row>
        <row r="727">
          <cell r="B727" t="str">
            <v>302-000109</v>
          </cell>
          <cell r="C727" t="str">
            <v>S硬盘6T-3.5SATA-6G7.2K-256M-XS V1.0</v>
          </cell>
          <cell r="D727" t="str">
            <v>0B36186</v>
          </cell>
          <cell r="E727" t="str">
            <v>硬盘</v>
          </cell>
          <cell r="F727">
            <v>5.4999999999999997E-3</v>
          </cell>
          <cell r="G727">
            <v>138</v>
          </cell>
          <cell r="I727" t="str">
            <v>99-000646</v>
          </cell>
        </row>
        <row r="728">
          <cell r="B728" t="str">
            <v>302-002572</v>
          </cell>
          <cell r="C728" t="str">
            <v>S硬盘10T-3.5SATA-6G7.2K-256M-XS-V1.0</v>
          </cell>
          <cell r="D728" t="str">
            <v>02540164</v>
          </cell>
          <cell r="E728" t="str">
            <v>硬盘</v>
          </cell>
          <cell r="F728">
            <v>5.4999999999999997E-3</v>
          </cell>
          <cell r="G728">
            <v>35</v>
          </cell>
          <cell r="I728" t="str">
            <v>99-001042</v>
          </cell>
        </row>
        <row r="729">
          <cell r="B729" t="str">
            <v>302-001688</v>
          </cell>
          <cell r="C729" t="str">
            <v>机箱 8SAS+12NVME硬盘 2U2P-无RAID SAS线1620S</v>
          </cell>
          <cell r="D729" t="str">
            <v>02314CRG</v>
          </cell>
          <cell r="E729" t="str">
            <v>机箱/硬盘背板</v>
          </cell>
          <cell r="F729">
            <v>2.8999999999999998E-3</v>
          </cell>
          <cell r="G729">
            <v>927</v>
          </cell>
          <cell r="I729" t="str">
            <v>88-000493</v>
          </cell>
        </row>
        <row r="730">
          <cell r="B730" t="str">
            <v>302-002399</v>
          </cell>
          <cell r="C730" t="str">
            <v>2U2P机箱 12*3.5"EXP K22R-02 支持3.0G-无SAS线</v>
          </cell>
          <cell r="D730" t="str">
            <v>02314KNQ</v>
          </cell>
          <cell r="E730" t="str">
            <v>机箱/硬盘背板</v>
          </cell>
          <cell r="F730">
            <v>2.8999999999999998E-3</v>
          </cell>
          <cell r="G730">
            <v>190</v>
          </cell>
          <cell r="I730" t="str">
            <v>88-000288</v>
          </cell>
        </row>
        <row r="731">
          <cell r="B731" t="str">
            <v>302-002594</v>
          </cell>
          <cell r="C731" t="str">
            <v>S硬盘16T-3.5SATA-6G7.2K-256M-HW-V1.0</v>
          </cell>
          <cell r="D731" t="str">
            <v>02540170</v>
          </cell>
          <cell r="E731" t="str">
            <v>硬盘</v>
          </cell>
          <cell r="F731">
            <v>5.4999999999999997E-3</v>
          </cell>
          <cell r="G731">
            <v>9</v>
          </cell>
          <cell r="I731" t="str">
            <v>99-001163</v>
          </cell>
        </row>
        <row r="732">
          <cell r="B732" t="str">
            <v>302-003013</v>
          </cell>
          <cell r="C732" t="str">
            <v>SSD S4520-3.84T-SATA-2.5 读取 Intel</v>
          </cell>
          <cell r="D732" t="str">
            <v>SSDSC2KB038TZ</v>
          </cell>
          <cell r="E732" t="str">
            <v>硬盘</v>
          </cell>
          <cell r="F732">
            <v>5.4999999999999997E-3</v>
          </cell>
          <cell r="G732">
            <v>21790</v>
          </cell>
          <cell r="I732" t="str">
            <v>99-000864</v>
          </cell>
        </row>
        <row r="733">
          <cell r="B733" t="str">
            <v>302-003036</v>
          </cell>
          <cell r="C733" t="str">
            <v>光模块-SFP+-10G-多模(850nm,0.3km,LC) V1.1-NDD</v>
          </cell>
          <cell r="D733" t="str">
            <v>SFP-10G-SR</v>
          </cell>
          <cell r="E733" t="str">
            <v>光模块</v>
          </cell>
          <cell r="F733">
            <v>4.1999999999999997E-3</v>
          </cell>
          <cell r="G733">
            <v>69557</v>
          </cell>
          <cell r="I733" t="str">
            <v>99-000381</v>
          </cell>
        </row>
        <row r="734">
          <cell r="B734" t="str">
            <v>302-003069</v>
          </cell>
          <cell r="C734" t="str">
            <v>机箱2U2P-8*2.5英寸硬盘-S920X00-无SAS线</v>
          </cell>
          <cell r="D734" t="str">
            <v>02314SEN</v>
          </cell>
          <cell r="E734" t="str">
            <v>机箱/硬盘背板</v>
          </cell>
          <cell r="F734">
            <v>2.8999999999999998E-3</v>
          </cell>
          <cell r="G734">
            <v>5010</v>
          </cell>
          <cell r="I734" t="str">
            <v>88-000495</v>
          </cell>
        </row>
        <row r="735">
          <cell r="B735" t="str">
            <v>302-002108</v>
          </cell>
          <cell r="C735" t="str">
            <v>SSD PM9A3-960GB-NVMe4.0-2.5读取SX V1.0</v>
          </cell>
          <cell r="D735" t="str">
            <v>MZQL2960HCJR-00B7C</v>
          </cell>
          <cell r="E735" t="str">
            <v>硬盘</v>
          </cell>
          <cell r="F735">
            <v>5.4999999999999997E-3</v>
          </cell>
          <cell r="G735">
            <v>149</v>
          </cell>
          <cell r="I735" t="str">
            <v>99-002108</v>
          </cell>
        </row>
        <row r="736">
          <cell r="B736" t="str">
            <v>302-001996</v>
          </cell>
          <cell r="C736" t="str">
            <v>FC卡-LPe31002-2x16G-SFP+ PCIe3.0x8-2光模块</v>
          </cell>
          <cell r="D736" t="str">
            <v>99014YLP</v>
          </cell>
          <cell r="E736" t="str">
            <v>HBA卡</v>
          </cell>
          <cell r="F736">
            <v>6.1999999999999998E-3</v>
          </cell>
          <cell r="G736">
            <v>1081</v>
          </cell>
          <cell r="I736" t="str">
            <v>99-001019</v>
          </cell>
        </row>
        <row r="737">
          <cell r="B737" t="str">
            <v>302-002428</v>
          </cell>
          <cell r="C737" t="str">
            <v>SSD 蛟容5-J5310-6.4TB NVMe-HHHL AIC读写 DPW</v>
          </cell>
          <cell r="D737" t="str">
            <v>DPJD4208T0T806T4000</v>
          </cell>
          <cell r="E737" t="str">
            <v>硬盘</v>
          </cell>
          <cell r="F737">
            <v>5.4999999999999997E-3</v>
          </cell>
          <cell r="G737">
            <v>128</v>
          </cell>
          <cell r="I737" t="str">
            <v>99-002428</v>
          </cell>
        </row>
        <row r="738">
          <cell r="B738" t="str">
            <v>302-002429</v>
          </cell>
          <cell r="C738" t="str">
            <v>DPU卡-MBF2H512C-AEUOT-25GB数据处理单元-NVIDIA</v>
          </cell>
          <cell r="D738" t="str">
            <v>MBF2H512C-AEUOT</v>
          </cell>
          <cell r="E738" t="str">
            <v>DPU卡</v>
          </cell>
          <cell r="F738">
            <v>6.3E-3</v>
          </cell>
          <cell r="G738">
            <v>88</v>
          </cell>
        </row>
        <row r="739">
          <cell r="B739" t="str">
            <v>302-003018</v>
          </cell>
          <cell r="C739" t="str">
            <v>光模块-200G-QSFP56-多模-850nm-MPO12-0.1KM</v>
          </cell>
          <cell r="D739">
            <v>34160118</v>
          </cell>
          <cell r="E739" t="str">
            <v>光模块</v>
          </cell>
          <cell r="F739">
            <v>4.1999999999999997E-3</v>
          </cell>
          <cell r="G739">
            <v>9844</v>
          </cell>
          <cell r="I739" t="str">
            <v>99-003018</v>
          </cell>
        </row>
        <row r="740">
          <cell r="B740" t="str">
            <v>302-002745</v>
          </cell>
          <cell r="C740" t="str">
            <v>高速电缆Slimline-2*mini SAS HD-0.7m&amp;0.6m-1分2</v>
          </cell>
          <cell r="D740" t="str">
            <v>02314RDN</v>
          </cell>
          <cell r="E740" t="str">
            <v>线缆</v>
          </cell>
          <cell r="F740">
            <v>2E-3</v>
          </cell>
          <cell r="G740">
            <v>160</v>
          </cell>
          <cell r="I740" t="str">
            <v>99-002745</v>
          </cell>
        </row>
        <row r="741">
          <cell r="B741" t="str">
            <v>304-000354</v>
          </cell>
          <cell r="C741" t="str">
            <v>A924典配4U-4*SATA+6*2.5NVMe机箱-8*910_3</v>
          </cell>
          <cell r="D741" t="str">
            <v>02314NTJ</v>
          </cell>
          <cell r="E741" t="str">
            <v>L6典配</v>
          </cell>
          <cell r="F741">
            <v>2.8999999999999998E-3</v>
          </cell>
          <cell r="G741">
            <v>141</v>
          </cell>
        </row>
        <row r="742">
          <cell r="B742" t="str">
            <v>302-003021</v>
          </cell>
          <cell r="C742" t="str">
            <v>网卡MCX623106AN-CDAT 100G双口 QSFP56无模HHHL</v>
          </cell>
          <cell r="D742" t="str">
            <v>02570225</v>
          </cell>
          <cell r="E742" t="str">
            <v>网卡</v>
          </cell>
          <cell r="F742">
            <v>5.7999999999999996E-3</v>
          </cell>
          <cell r="G742">
            <v>196</v>
          </cell>
          <cell r="I742" t="str">
            <v>99-003021</v>
          </cell>
        </row>
        <row r="743">
          <cell r="B743" t="str">
            <v>302-002813</v>
          </cell>
          <cell r="C743" t="str">
            <v>Atlas300T A2-32G-HBM-PCIe5-300W-DWFHFL</v>
          </cell>
          <cell r="D743" t="str">
            <v>02314PCC</v>
          </cell>
          <cell r="E743" t="str">
            <v>AI推理卡</v>
          </cell>
          <cell r="F743">
            <v>6.3E-3</v>
          </cell>
          <cell r="G743">
            <v>15</v>
          </cell>
        </row>
        <row r="744">
          <cell r="B744" t="str">
            <v>302-002156</v>
          </cell>
          <cell r="C744" t="str">
            <v>电源线0.3m-H2X7(14pin3.0-4.20)2*18UL2651黑扁平</v>
          </cell>
          <cell r="D744">
            <v>4152703</v>
          </cell>
          <cell r="E744" t="str">
            <v>线缆</v>
          </cell>
          <cell r="F744">
            <v>2E-3</v>
          </cell>
          <cell r="G744">
            <v>513</v>
          </cell>
          <cell r="I744" t="str">
            <v>99-000259</v>
          </cell>
        </row>
        <row r="745">
          <cell r="B745" t="str">
            <v>302-002654</v>
          </cell>
          <cell r="C745" t="str">
            <v>2288H V5 12盘3.5inch HDD 双RAID Exp硬盘背板</v>
          </cell>
          <cell r="D745">
            <v>302031674</v>
          </cell>
          <cell r="E745" t="str">
            <v>机箱/硬盘背板</v>
          </cell>
          <cell r="F745">
            <v>2.8999999999999998E-3</v>
          </cell>
          <cell r="G745">
            <v>0</v>
          </cell>
          <cell r="I745" t="str">
            <v>88-000288</v>
          </cell>
        </row>
        <row r="746">
          <cell r="B746" t="str">
            <v>302-002536</v>
          </cell>
          <cell r="C746" t="str">
            <v>S硬盘14T-3.5SATA-6G7.2K-256M-DZ-V1.1</v>
          </cell>
          <cell r="D746" t="str">
            <v>HDEPW10GUA51</v>
          </cell>
          <cell r="E746" t="str">
            <v>硬盘</v>
          </cell>
          <cell r="F746">
            <v>5.4999999999999997E-3</v>
          </cell>
          <cell r="G746">
            <v>10</v>
          </cell>
          <cell r="I746" t="str">
            <v>99-001013</v>
          </cell>
        </row>
        <row r="747">
          <cell r="B747" t="str">
            <v>302-002659</v>
          </cell>
          <cell r="C747" t="str">
            <v>S内存DDR4-16G-2933-2Rx8-RD SX V1.1-LJ</v>
          </cell>
          <cell r="D747" t="str">
            <v>M393A2K43CB2-CVF</v>
          </cell>
          <cell r="E747" t="str">
            <v>内存</v>
          </cell>
          <cell r="F747">
            <v>2E-3</v>
          </cell>
          <cell r="G747">
            <v>10</v>
          </cell>
          <cell r="I747" t="str">
            <v>99-001078</v>
          </cell>
        </row>
        <row r="748">
          <cell r="B748" t="str">
            <v>302-001760</v>
          </cell>
          <cell r="C748" t="str">
            <v>服务器8*2.5英寸硬盘机箱-A722</v>
          </cell>
          <cell r="D748" t="str">
            <v>02313NMN</v>
          </cell>
          <cell r="E748" t="str">
            <v>机箱/硬盘背板</v>
          </cell>
          <cell r="F748">
            <v>2.8999999999999998E-3</v>
          </cell>
          <cell r="G748">
            <v>8</v>
          </cell>
          <cell r="I748" t="str">
            <v>88-000495</v>
          </cell>
        </row>
        <row r="749">
          <cell r="B749" t="str">
            <v>302-001761</v>
          </cell>
          <cell r="C749" t="str">
            <v>服务器8*2.5英寸硬盘机箱-A722</v>
          </cell>
          <cell r="D749" t="str">
            <v>02313NNK</v>
          </cell>
          <cell r="E749" t="str">
            <v>机箱/硬盘背板</v>
          </cell>
          <cell r="F749">
            <v>2.8999999999999998E-3</v>
          </cell>
          <cell r="G749">
            <v>45</v>
          </cell>
          <cell r="I749" t="str">
            <v>88-000495</v>
          </cell>
        </row>
        <row r="750">
          <cell r="B750" t="str">
            <v>302-001119</v>
          </cell>
          <cell r="C750" t="str">
            <v>SSD UH810a-1.92TB-NVMe4.0-2.5读取YL V1.0</v>
          </cell>
          <cell r="D750" t="str">
            <v>RP2001T9RK004LX</v>
          </cell>
          <cell r="E750" t="str">
            <v>硬盘</v>
          </cell>
          <cell r="F750">
            <v>5.4999999999999997E-3</v>
          </cell>
          <cell r="G750">
            <v>193</v>
          </cell>
          <cell r="I750" t="str">
            <v>99-002079</v>
          </cell>
        </row>
        <row r="751">
          <cell r="B751" t="str">
            <v>302-002953</v>
          </cell>
          <cell r="C751" t="str">
            <v>NVMeSSD S2000E-1.6T-U.2 Pcie4 2.5-读写YX</v>
          </cell>
          <cell r="D751" t="str">
            <v>S2000E-YE2-U2A01T6</v>
          </cell>
          <cell r="E751" t="str">
            <v>硬盘</v>
          </cell>
          <cell r="F751">
            <v>5.4999999999999997E-3</v>
          </cell>
          <cell r="G751">
            <v>89</v>
          </cell>
        </row>
        <row r="752">
          <cell r="B752" t="str">
            <v>302-002944</v>
          </cell>
          <cell r="C752" t="str">
            <v>SSD SP861-250GB-SATA 6Gb-2.5-读密集 HLW</v>
          </cell>
          <cell r="D752" t="str">
            <v>SS3125-R250GT-PN00</v>
          </cell>
          <cell r="E752" t="str">
            <v>硬盘</v>
          </cell>
          <cell r="F752">
            <v>5.4999999999999997E-3</v>
          </cell>
          <cell r="G752">
            <v>2127</v>
          </cell>
        </row>
        <row r="753">
          <cell r="B753" t="str">
            <v>302-002697</v>
          </cell>
          <cell r="C753" t="str">
            <v>SSD S4620-960GB-SATA-2.5 读写 Intel</v>
          </cell>
          <cell r="D753" t="str">
            <v>SSDSC2KG960GZ</v>
          </cell>
          <cell r="E753" t="str">
            <v>硬盘</v>
          </cell>
          <cell r="F753">
            <v>5.4999999999999997E-3</v>
          </cell>
          <cell r="G753">
            <v>2155</v>
          </cell>
        </row>
        <row r="754">
          <cell r="B754" t="str">
            <v>302-003093</v>
          </cell>
          <cell r="C754" t="str">
            <v>NVMeSSD-R5100-15.36T-U.2-PCIe4-2.5-读取DPW</v>
          </cell>
          <cell r="D754" t="str">
            <v>DPRD31016TT515T300</v>
          </cell>
          <cell r="E754" t="str">
            <v>硬盘</v>
          </cell>
          <cell r="F754">
            <v>5.4999999999999997E-3</v>
          </cell>
          <cell r="G754">
            <v>462</v>
          </cell>
        </row>
        <row r="755">
          <cell r="B755" t="str">
            <v>302-001909</v>
          </cell>
          <cell r="C755" t="str">
            <v>SSD SE005-960G-SATA 6Gb-2.5无托-读密集 CJCC</v>
          </cell>
          <cell r="D755" t="str">
            <v>YMES0XH07A41ME</v>
          </cell>
          <cell r="E755" t="str">
            <v>硬盘</v>
          </cell>
          <cell r="F755">
            <v>5.4999999999999997E-3</v>
          </cell>
          <cell r="G755">
            <v>624</v>
          </cell>
          <cell r="I755" t="str">
            <v>99-001349</v>
          </cell>
        </row>
        <row r="756">
          <cell r="B756" t="str">
            <v>302-002418</v>
          </cell>
          <cell r="C756" t="str">
            <v>S内存DDR4-32G-3200-2Rx4-RD CX V1.0</v>
          </cell>
          <cell r="D756" t="str">
            <v>CXMQ3A4MA4GR7-CJ1A</v>
          </cell>
          <cell r="E756" t="str">
            <v>内存</v>
          </cell>
          <cell r="F756">
            <v>2E-3</v>
          </cell>
          <cell r="G756">
            <v>99025</v>
          </cell>
        </row>
        <row r="757">
          <cell r="B757" t="str">
            <v>302-003025</v>
          </cell>
          <cell r="C757" t="str">
            <v>SSD UH611a-1.92TB-SAS3.0-2.5读取 YL</v>
          </cell>
          <cell r="D757" t="str">
            <v>RA2021T9RK003LX</v>
          </cell>
          <cell r="E757" t="str">
            <v>硬盘</v>
          </cell>
          <cell r="F757">
            <v>5.4999999999999997E-3</v>
          </cell>
          <cell r="G757">
            <v>3769</v>
          </cell>
          <cell r="I757" t="str">
            <v>99-002401</v>
          </cell>
        </row>
        <row r="758">
          <cell r="B758" t="str">
            <v>302-002967</v>
          </cell>
          <cell r="C758" t="str">
            <v>RAID标卡-2GB 9460-8i-PCIe-LJ</v>
          </cell>
          <cell r="D758" t="str">
            <v>NA</v>
          </cell>
          <cell r="E758" t="str">
            <v>RAID卡</v>
          </cell>
          <cell r="F758">
            <v>7.7999999999999996E-3</v>
          </cell>
          <cell r="G758">
            <v>1</v>
          </cell>
          <cell r="I758" t="str">
            <v>99-001066</v>
          </cell>
        </row>
        <row r="759">
          <cell r="B759" t="str">
            <v>302-002218</v>
          </cell>
          <cell r="C759" t="str">
            <v>S主板S920S00-2*5220(32C@2.6)-VD-1710</v>
          </cell>
          <cell r="D759" t="str">
            <v>03028DYD</v>
          </cell>
          <cell r="E759" t="str">
            <v>主板</v>
          </cell>
          <cell r="F759">
            <v>8.5000000000000006E-3</v>
          </cell>
          <cell r="G759">
            <v>3</v>
          </cell>
          <cell r="I759" t="str">
            <v>99-000708</v>
          </cell>
        </row>
        <row r="760">
          <cell r="B760" t="str">
            <v>302-002656</v>
          </cell>
          <cell r="C760" t="str">
            <v>EXP硬盘背板-S920X00 12*3.5寸 0X73 PM8054</v>
          </cell>
          <cell r="D760">
            <v>6411207</v>
          </cell>
          <cell r="E760" t="str">
            <v>机箱/硬盘背板</v>
          </cell>
          <cell r="F760">
            <v>2.8999999999999998E-3</v>
          </cell>
          <cell r="G760">
            <v>0</v>
          </cell>
          <cell r="I760" t="str">
            <v>88-000288</v>
          </cell>
        </row>
        <row r="761">
          <cell r="B761" t="str">
            <v>302-003145</v>
          </cell>
          <cell r="C761" t="str">
            <v>制成板-BC11THBHBO-BP22H V5 25盘双RAD EXP硬盘背板</v>
          </cell>
          <cell r="D761" t="str">
            <v>06411494</v>
          </cell>
          <cell r="E761" t="str">
            <v>机箱/硬盘背板</v>
          </cell>
          <cell r="F761">
            <v>2.8999999999999998E-3</v>
          </cell>
          <cell r="G761">
            <v>0</v>
          </cell>
          <cell r="I761" t="str">
            <v>88-000289</v>
          </cell>
        </row>
        <row r="762">
          <cell r="B762" t="str">
            <v>302-003146</v>
          </cell>
          <cell r="C762" t="str">
            <v>制成板-BP52 V5-BC11THBKD-24硬盘背板</v>
          </cell>
          <cell r="D762" t="str">
            <v>06411495</v>
          </cell>
          <cell r="E762" t="str">
            <v>机箱/硬盘背板</v>
          </cell>
          <cell r="F762">
            <v>2.8999999999999998E-3</v>
          </cell>
          <cell r="G762">
            <v>0</v>
          </cell>
          <cell r="I762" t="str">
            <v>88-002660</v>
          </cell>
        </row>
        <row r="763">
          <cell r="B763" t="str">
            <v>302-001199</v>
          </cell>
          <cell r="C763" t="str">
            <v>S主板S920X00-7260-AR 2*(920 64C) 1711</v>
          </cell>
          <cell r="D763" t="str">
            <v>03050EQW</v>
          </cell>
          <cell r="E763" t="str">
            <v>主板</v>
          </cell>
          <cell r="F763">
            <v>8.5000000000000006E-3</v>
          </cell>
          <cell r="G763">
            <v>4</v>
          </cell>
          <cell r="I763" t="str">
            <v>99-000712</v>
          </cell>
        </row>
        <row r="764">
          <cell r="B764" t="str">
            <v>302-000887</v>
          </cell>
          <cell r="C764" t="str">
            <v>网卡25Gb SFP28(MCX512A-ACUT)DP</v>
          </cell>
          <cell r="D764">
            <v>6310169</v>
          </cell>
          <cell r="E764" t="str">
            <v>网卡</v>
          </cell>
          <cell r="F764">
            <v>5.7999999999999996E-3</v>
          </cell>
          <cell r="G764">
            <v>2219</v>
          </cell>
          <cell r="I764" t="str">
            <v>99-000786</v>
          </cell>
        </row>
        <row r="765">
          <cell r="B765" t="str">
            <v>302-001894</v>
          </cell>
          <cell r="C765" t="str">
            <v>S主板S920X10-2*5250(48C@2.6G)-AD-1711</v>
          </cell>
          <cell r="D765" t="str">
            <v>03050JNQ</v>
          </cell>
          <cell r="E765" t="str">
            <v>主板</v>
          </cell>
          <cell r="F765">
            <v>8.5000000000000006E-3</v>
          </cell>
          <cell r="G765">
            <v>464</v>
          </cell>
          <cell r="I765" t="str">
            <v>99-001894</v>
          </cell>
        </row>
        <row r="766">
          <cell r="B766" t="str">
            <v>302-002311</v>
          </cell>
          <cell r="C766" t="str">
            <v>高速电缆- MiniSAS HD Cable-0.75m-弯头直头</v>
          </cell>
          <cell r="D766" t="str">
            <v>02314EGB</v>
          </cell>
          <cell r="E766" t="str">
            <v>线缆</v>
          </cell>
          <cell r="F766">
            <v>2E-3</v>
          </cell>
          <cell r="G766">
            <v>0</v>
          </cell>
          <cell r="I766" t="str">
            <v>99-000251</v>
          </cell>
        </row>
        <row r="767">
          <cell r="B767" t="str">
            <v>302-002118</v>
          </cell>
          <cell r="C767" t="str">
            <v>S电源线国标-C14直公-C13直母-250V10A-3M黑-交流</v>
          </cell>
          <cell r="D767" t="str">
            <v>C2460003</v>
          </cell>
          <cell r="E767" t="str">
            <v>电源线</v>
          </cell>
          <cell r="F767">
            <v>2E-3</v>
          </cell>
          <cell r="G767">
            <v>6</v>
          </cell>
        </row>
        <row r="768">
          <cell r="B768" t="str">
            <v>302-002120</v>
          </cell>
          <cell r="C768" t="str">
            <v>模组Riser2-2*16X SLOT (PCIE X8)</v>
          </cell>
          <cell r="D768" t="str">
            <v>02312WAT</v>
          </cell>
          <cell r="E768" t="str">
            <v>Riser模组</v>
          </cell>
          <cell r="F768">
            <v>5.0000000000000001E-3</v>
          </cell>
          <cell r="G768">
            <v>3</v>
          </cell>
        </row>
        <row r="769">
          <cell r="B769" t="str">
            <v>302-002121</v>
          </cell>
          <cell r="C769" t="str">
            <v>模组Riser3-2*16X SLOT (PCIE X8)</v>
          </cell>
          <cell r="D769" t="str">
            <v>02312YMD</v>
          </cell>
          <cell r="E769" t="str">
            <v>Riser模组</v>
          </cell>
          <cell r="F769">
            <v>5.0000000000000001E-3</v>
          </cell>
          <cell r="G769">
            <v>3</v>
          </cell>
        </row>
        <row r="770">
          <cell r="B770" t="str">
            <v>302-002122</v>
          </cell>
          <cell r="C770" t="str">
            <v>网卡TM272-2*100G-QSFP28-无模</v>
          </cell>
          <cell r="D770" t="str">
            <v>03027AHG</v>
          </cell>
          <cell r="E770" t="str">
            <v>网卡</v>
          </cell>
          <cell r="F770">
            <v>5.7999999999999996E-3</v>
          </cell>
          <cell r="G770">
            <v>12</v>
          </cell>
        </row>
        <row r="771">
          <cell r="B771" t="str">
            <v>302-002950</v>
          </cell>
          <cell r="C771" t="str">
            <v>FC HBA-2*32G(Hi1822)-双端口-PCIe3x8-HW-含模块</v>
          </cell>
          <cell r="D771" t="str">
            <v>02312SEG</v>
          </cell>
          <cell r="E771" t="str">
            <v>HBA卡</v>
          </cell>
          <cell r="F771">
            <v>6.1999999999999998E-3</v>
          </cell>
          <cell r="G771">
            <v>2225</v>
          </cell>
        </row>
        <row r="772">
          <cell r="B772" t="str">
            <v>304-000364</v>
          </cell>
          <cell r="C772" t="str">
            <v>A924典配4U-6*Nvme机箱-4*920-8*910 B</v>
          </cell>
          <cell r="D772" t="str">
            <v>02313EYR</v>
          </cell>
          <cell r="E772" t="str">
            <v>L6典配</v>
          </cell>
          <cell r="F772">
            <v>2.8999999999999998E-3</v>
          </cell>
          <cell r="G772">
            <v>1</v>
          </cell>
        </row>
        <row r="773">
          <cell r="B773" t="str">
            <v>302-002696</v>
          </cell>
          <cell r="C773" t="str">
            <v>SSD S4620-480GB-SATA-2.5 读写 Intel</v>
          </cell>
          <cell r="D773" t="str">
            <v>SSDSC2KG480GZ</v>
          </cell>
          <cell r="E773" t="str">
            <v>硬盘</v>
          </cell>
          <cell r="F773">
            <v>5.4999999999999997E-3</v>
          </cell>
          <cell r="G773">
            <v>618</v>
          </cell>
        </row>
        <row r="774">
          <cell r="B774" t="str">
            <v>302-002547</v>
          </cell>
          <cell r="C774" t="str">
            <v>NVMeSSD J5100-3.84T-U.2 PCIe4-2.5 读取 DPW</v>
          </cell>
          <cell r="D774" t="str">
            <v>DPJD3104T0T803T8000</v>
          </cell>
          <cell r="E774" t="str">
            <v>硬盘</v>
          </cell>
          <cell r="F774">
            <v>5.4999999999999997E-3</v>
          </cell>
          <cell r="G774">
            <v>6157</v>
          </cell>
          <cell r="I774" t="str">
            <v>99-002547</v>
          </cell>
        </row>
        <row r="775">
          <cell r="B775" t="str">
            <v>302-003054</v>
          </cell>
          <cell r="C775" t="str">
            <v>S硬盘16T-3.5SATA-6G7.2K-256M-DZ-[AVAP]</v>
          </cell>
          <cell r="D775" t="str">
            <v>MG08ACA16TE</v>
          </cell>
          <cell r="E775" t="str">
            <v>硬盘</v>
          </cell>
          <cell r="F775">
            <v>5.4999999999999997E-3</v>
          </cell>
          <cell r="G775">
            <v>26026</v>
          </cell>
          <cell r="I775" t="str">
            <v>99-001163</v>
          </cell>
        </row>
        <row r="776">
          <cell r="B776" t="str">
            <v>302-001137</v>
          </cell>
          <cell r="C776" t="str">
            <v>2U4P机箱25*2.5"EXP K24R-02 支持3.0G</v>
          </cell>
          <cell r="D776" t="str">
            <v>02313PNJ</v>
          </cell>
          <cell r="E776" t="str">
            <v>机箱/硬盘背板</v>
          </cell>
          <cell r="F776">
            <v>2.8999999999999998E-3</v>
          </cell>
          <cell r="G776">
            <v>2</v>
          </cell>
          <cell r="I776" t="str">
            <v>88-001775</v>
          </cell>
        </row>
        <row r="777">
          <cell r="B777" t="str">
            <v>302-001198</v>
          </cell>
          <cell r="C777" t="str">
            <v>1U2P机箱 10*2.5支持8SAS(4NVMe)-RAID-7260</v>
          </cell>
          <cell r="D777" t="str">
            <v>02313RRK</v>
          </cell>
          <cell r="E777" t="str">
            <v>机箱/硬盘背板</v>
          </cell>
          <cell r="F777">
            <v>2.8999999999999998E-3</v>
          </cell>
          <cell r="G777">
            <v>4</v>
          </cell>
        </row>
        <row r="778">
          <cell r="B778" t="str">
            <v>302-001889</v>
          </cell>
          <cell r="C778" t="str">
            <v>4*2.5 NVME后置硬盘背板组件</v>
          </cell>
          <cell r="D778" t="str">
            <v>02580270</v>
          </cell>
          <cell r="E778" t="str">
            <v>后置硬盘背板</v>
          </cell>
          <cell r="F778">
            <v>2.8999999999999998E-3</v>
          </cell>
          <cell r="G778">
            <v>613</v>
          </cell>
        </row>
        <row r="779">
          <cell r="B779" t="str">
            <v>302-002978</v>
          </cell>
          <cell r="C779" t="str">
            <v>SP382网卡25GE(Mellanox CX5)DP(无光模块)</v>
          </cell>
          <cell r="D779" t="str">
            <v>02312VVT</v>
          </cell>
          <cell r="E779" t="str">
            <v>网卡</v>
          </cell>
          <cell r="F779">
            <v>5.7999999999999996E-3</v>
          </cell>
          <cell r="G779">
            <v>30</v>
          </cell>
          <cell r="I779" t="str">
            <v>99-000910</v>
          </cell>
        </row>
        <row r="780">
          <cell r="B780" t="str">
            <v>302-001381</v>
          </cell>
          <cell r="C780" t="str">
            <v>风扇-风扇框-2480-BC8M02FAN-6076</v>
          </cell>
          <cell r="D780" t="str">
            <v>02312VEB</v>
          </cell>
          <cell r="E780" t="str">
            <v>风扇</v>
          </cell>
          <cell r="F780">
            <v>2.8999999999999998E-3</v>
          </cell>
          <cell r="G780">
            <v>1</v>
          </cell>
        </row>
        <row r="781">
          <cell r="B781" t="str">
            <v>302-002242</v>
          </cell>
          <cell r="C781" t="str">
            <v>TM280板载灵活网卡-25GE/10GE光口-4端口LJ</v>
          </cell>
          <cell r="D781" t="str">
            <v>03025VYP</v>
          </cell>
          <cell r="E781" t="str">
            <v>灵活网卡</v>
          </cell>
          <cell r="F781">
            <v>5.7999999999999996E-3</v>
          </cell>
          <cell r="G781">
            <v>24</v>
          </cell>
          <cell r="I781" t="str">
            <v>99-001036</v>
          </cell>
        </row>
        <row r="782">
          <cell r="B782" t="str">
            <v>302-003098</v>
          </cell>
          <cell r="C782" t="str">
            <v>机箱2U2P-12*3.5EXP-S920X00</v>
          </cell>
          <cell r="D782" t="str">
            <v>02314RAS</v>
          </cell>
          <cell r="E782" t="str">
            <v>机箱/硬盘背板</v>
          </cell>
          <cell r="F782">
            <v>2.8999999999999998E-3</v>
          </cell>
          <cell r="G782">
            <v>14070</v>
          </cell>
          <cell r="I782" t="str">
            <v>88-000288</v>
          </cell>
        </row>
        <row r="783">
          <cell r="B783" t="str">
            <v>302-000258</v>
          </cell>
          <cell r="C783" t="str">
            <v>监控和告警电缆-信号线-0.2m-带屏蔽</v>
          </cell>
          <cell r="D783" t="str">
            <v>4080602</v>
          </cell>
          <cell r="E783" t="str">
            <v>线缆</v>
          </cell>
          <cell r="F783">
            <v>2E-3</v>
          </cell>
          <cell r="G783">
            <v>4274</v>
          </cell>
        </row>
        <row r="784">
          <cell r="B784" t="str">
            <v>302-000254</v>
          </cell>
          <cell r="C784" t="str">
            <v>IT设备电缆-电源线-0.2m</v>
          </cell>
          <cell r="D784" t="str">
            <v>4052302</v>
          </cell>
          <cell r="E784" t="str">
            <v>线缆</v>
          </cell>
          <cell r="F784">
            <v>2E-3</v>
          </cell>
          <cell r="G784">
            <v>5607</v>
          </cell>
        </row>
        <row r="785">
          <cell r="B785" t="str">
            <v>302-000255</v>
          </cell>
          <cell r="C785" t="str">
            <v>高速电缆-内部PCIe高速线缆-0.2m</v>
          </cell>
          <cell r="D785" t="str">
            <v>4052304</v>
          </cell>
          <cell r="E785" t="str">
            <v>线缆</v>
          </cell>
          <cell r="F785">
            <v>2E-3</v>
          </cell>
          <cell r="G785">
            <v>10970</v>
          </cell>
        </row>
        <row r="786">
          <cell r="B786" t="str">
            <v>302-000297</v>
          </cell>
          <cell r="C786" t="str">
            <v>后置硬盘背板BC82NHBA</v>
          </cell>
          <cell r="D786" t="str">
            <v>03025VYV</v>
          </cell>
          <cell r="E786" t="str">
            <v>后置硬盘背板</v>
          </cell>
          <cell r="F786">
            <v>2.8999999999999998E-3</v>
          </cell>
          <cell r="G786">
            <v>4304</v>
          </cell>
          <cell r="I786" t="str">
            <v>99-000297</v>
          </cell>
        </row>
        <row r="787">
          <cell r="B787" t="str">
            <v>302-003035</v>
          </cell>
          <cell r="C787" t="str">
            <v>网卡 RP1000P2SFP-A （03版）10Gb 双口SFP+ -HW</v>
          </cell>
          <cell r="D787" t="str">
            <v>06310372/99016LPM</v>
          </cell>
          <cell r="E787" t="str">
            <v>网卡</v>
          </cell>
          <cell r="F787">
            <v>5.7999999999999996E-3</v>
          </cell>
          <cell r="G787">
            <v>12773</v>
          </cell>
          <cell r="I787" t="str">
            <v>99-003035</v>
          </cell>
        </row>
        <row r="788">
          <cell r="B788" t="str">
            <v>302-002417</v>
          </cell>
          <cell r="C788" t="str">
            <v>S主板S920X00-2*5250(48C@2.6)BO-VD-1711</v>
          </cell>
          <cell r="D788" t="str">
            <v>03050JMC</v>
          </cell>
          <cell r="E788" t="str">
            <v>主板</v>
          </cell>
          <cell r="F788">
            <v>8.5000000000000006E-3</v>
          </cell>
          <cell r="G788">
            <v>9</v>
          </cell>
          <cell r="I788" t="str">
            <v>99-000711</v>
          </cell>
        </row>
        <row r="789">
          <cell r="B789" t="str">
            <v>302-002550</v>
          </cell>
          <cell r="C789" t="str">
            <v>NVMeSSDJ5300-3.2T-U.2PCIe4-2.5读写DPW</v>
          </cell>
          <cell r="D789" t="str">
            <v>DPJD3104T0T803T2000</v>
          </cell>
          <cell r="E789" t="str">
            <v>硬盘</v>
          </cell>
          <cell r="F789">
            <v>5.4999999999999997E-3</v>
          </cell>
          <cell r="G789">
            <v>1252</v>
          </cell>
          <cell r="I789" t="str">
            <v>99-001915</v>
          </cell>
        </row>
        <row r="790">
          <cell r="B790" t="str">
            <v>302-002017</v>
          </cell>
          <cell r="C790" t="str">
            <v>AI卡Atlas 300V&amp;nbsp;x16(HHHL)LPDDR4x*24G样</v>
          </cell>
          <cell r="D790" t="str">
            <v>02314KFF</v>
          </cell>
          <cell r="E790" t="str">
            <v>AI推理卡</v>
          </cell>
          <cell r="F790">
            <v>6.3E-3</v>
          </cell>
          <cell r="G790">
            <v>10</v>
          </cell>
          <cell r="I790" t="str">
            <v>99-001842</v>
          </cell>
        </row>
        <row r="791">
          <cell r="B791" t="str">
            <v>302-003067</v>
          </cell>
          <cell r="C791" t="str">
            <v>NVMeSSD UH831a-3.2TB-PCIe4-2.5读写YL-K</v>
          </cell>
          <cell r="D791" t="str">
            <v>RP2A43T2RK004VX</v>
          </cell>
          <cell r="E791" t="str">
            <v>硬盘</v>
          </cell>
          <cell r="F791">
            <v>5.4999999999999997E-3</v>
          </cell>
          <cell r="G791">
            <v>9484</v>
          </cell>
          <cell r="I791" t="str">
            <v>99-001121</v>
          </cell>
        </row>
        <row r="792">
          <cell r="B792" t="str">
            <v>302-001763</v>
          </cell>
          <cell r="C792" t="str">
            <v>AI卡Ascend910 Pro-A300T Pro x16(FHFL)-32G</v>
          </cell>
          <cell r="D792" t="str">
            <v>02313UMS</v>
          </cell>
          <cell r="E792" t="str">
            <v>AI推理卡</v>
          </cell>
          <cell r="F792">
            <v>6.3E-3</v>
          </cell>
          <cell r="G792">
            <v>9</v>
          </cell>
        </row>
        <row r="793">
          <cell r="B793" t="str">
            <v>302-002386</v>
          </cell>
          <cell r="C793" t="str">
            <v>S主板S920X02-4*7265F(64C@3.0)AD-VD1711-4GE</v>
          </cell>
          <cell r="D793" t="str">
            <v>03050JBS</v>
          </cell>
          <cell r="E793" t="str">
            <v>主板</v>
          </cell>
          <cell r="F793">
            <v>8.5000000000000006E-3</v>
          </cell>
          <cell r="G793">
            <v>5</v>
          </cell>
        </row>
        <row r="794">
          <cell r="B794" t="str">
            <v>302-002574</v>
          </cell>
          <cell r="C794" t="str">
            <v>S内存DDR4-64G-3200-2Rx4-RD</v>
          </cell>
          <cell r="D794" t="str">
            <v>2510048</v>
          </cell>
          <cell r="E794" t="str">
            <v>内存</v>
          </cell>
          <cell r="F794">
            <v>2E-3</v>
          </cell>
          <cell r="G794">
            <v>10456</v>
          </cell>
          <cell r="I794" t="str">
            <v>99-001862</v>
          </cell>
        </row>
        <row r="795">
          <cell r="B795" t="str">
            <v>302-002551</v>
          </cell>
          <cell r="C795" t="str">
            <v>NVMeSSDJ5300-6.4T-U.2PCIe4-2.5读写DPW</v>
          </cell>
          <cell r="D795" t="str">
            <v>DPJD3108T0T806T400</v>
          </cell>
          <cell r="E795" t="str">
            <v>硬盘</v>
          </cell>
          <cell r="F795">
            <v>5.4999999999999997E-3</v>
          </cell>
          <cell r="G795">
            <v>218</v>
          </cell>
          <cell r="I795" t="str">
            <v>99-002843</v>
          </cell>
        </row>
        <row r="796">
          <cell r="B796" t="str">
            <v>302-002600</v>
          </cell>
          <cell r="C796" t="str">
            <v>AI卡Atlas 300VPro x16(HHHL)LPDDR4x*48G-YJ</v>
          </cell>
          <cell r="D796" t="str">
            <v>02314MYM</v>
          </cell>
          <cell r="E796" t="str">
            <v>AI推理卡</v>
          </cell>
          <cell r="F796">
            <v>6.3E-3</v>
          </cell>
          <cell r="G796">
            <v>10</v>
          </cell>
          <cell r="I796" t="str">
            <v>99-002442</v>
          </cell>
        </row>
        <row r="797">
          <cell r="B797" t="str">
            <v>302-000298</v>
          </cell>
          <cell r="C797" t="str">
            <v>内置2.5寸硬盘背板-BC82HBBA</v>
          </cell>
          <cell r="D797" t="str">
            <v>03025WCM</v>
          </cell>
          <cell r="E797" t="str">
            <v>后置硬盘背板</v>
          </cell>
          <cell r="F797">
            <v>2.8999999999999998E-3</v>
          </cell>
          <cell r="G797">
            <v>2505</v>
          </cell>
        </row>
        <row r="798">
          <cell r="B798" t="str">
            <v>302-000293</v>
          </cell>
          <cell r="C798" t="str">
            <v>PCIE 1*x16 标卡提升卡-BC82PRUC</v>
          </cell>
          <cell r="D798" t="str">
            <v>03025VYM</v>
          </cell>
          <cell r="E798" t="str">
            <v>PCIe提升卡</v>
          </cell>
          <cell r="F798">
            <v>3.0999999999999999E-3</v>
          </cell>
          <cell r="G798">
            <v>356</v>
          </cell>
        </row>
        <row r="799">
          <cell r="B799" t="str">
            <v>302-002707</v>
          </cell>
          <cell r="C799" t="str">
            <v>S内存DDR4-64G-3200-2R（4G*4bit)-RD HW V1.0</v>
          </cell>
          <cell r="D799" t="str">
            <v>06200323-002</v>
          </cell>
          <cell r="E799" t="str">
            <v>内存</v>
          </cell>
          <cell r="F799">
            <v>2E-3</v>
          </cell>
          <cell r="G799">
            <v>896</v>
          </cell>
          <cell r="I799" t="str">
            <v>99-001862</v>
          </cell>
        </row>
        <row r="800">
          <cell r="B800" t="str">
            <v>302-000870</v>
          </cell>
          <cell r="C800" t="str">
            <v>后置 PSU 4*2.5寸硬盘背板(支持NVME)-A722</v>
          </cell>
          <cell r="D800" t="str">
            <v>02312NVL</v>
          </cell>
          <cell r="E800" t="str">
            <v>后置硬盘背板</v>
          </cell>
          <cell r="F800">
            <v>2.8999999999999998E-3</v>
          </cell>
          <cell r="G800">
            <v>2668</v>
          </cell>
          <cell r="I800" t="str">
            <v>99-000146</v>
          </cell>
        </row>
        <row r="801">
          <cell r="B801" t="str">
            <v>302-001278</v>
          </cell>
          <cell r="C801" t="str">
            <v>网卡MCX512A-ACUT 25Gb 双口SFP28</v>
          </cell>
          <cell r="D801">
            <v>6310169</v>
          </cell>
          <cell r="E801" t="str">
            <v>网卡</v>
          </cell>
          <cell r="F801">
            <v>5.7999999999999996E-3</v>
          </cell>
          <cell r="G801">
            <v>819</v>
          </cell>
          <cell r="I801" t="str">
            <v>99-000786</v>
          </cell>
        </row>
        <row r="802">
          <cell r="B802" t="str">
            <v>302-003095</v>
          </cell>
          <cell r="C802" t="str">
            <v>机箱2U2P-12*3.5EXP-S920S00</v>
          </cell>
          <cell r="D802" t="str">
            <v>02314SEE</v>
          </cell>
          <cell r="E802" t="str">
            <v>机箱/硬盘背板</v>
          </cell>
          <cell r="F802">
            <v>2.8999999999999998E-3</v>
          </cell>
          <cell r="G802">
            <v>11521</v>
          </cell>
          <cell r="I802" t="str">
            <v>88-000288</v>
          </cell>
        </row>
        <row r="803">
          <cell r="B803" t="str">
            <v>302-001759</v>
          </cell>
          <cell r="C803" t="str">
            <v>服务器12*3.5英寸硬盘EXP机箱-A722</v>
          </cell>
          <cell r="D803" t="str">
            <v>02313NNL</v>
          </cell>
          <cell r="E803" t="str">
            <v>机箱/硬盘背板</v>
          </cell>
          <cell r="F803">
            <v>2.8999999999999998E-3</v>
          </cell>
          <cell r="G803">
            <v>61</v>
          </cell>
          <cell r="I803" t="str">
            <v>88-000288</v>
          </cell>
        </row>
        <row r="804">
          <cell r="B804" t="str">
            <v>302-003042</v>
          </cell>
          <cell r="C804" t="str">
            <v>3*8XSLOT(PCIE40)-RISER1&amp;2 模组</v>
          </cell>
          <cell r="D804" t="str">
            <v>02580298</v>
          </cell>
          <cell r="E804" t="str">
            <v>Riser模组</v>
          </cell>
          <cell r="F804">
            <v>5.0000000000000001E-3</v>
          </cell>
          <cell r="G804">
            <v>76</v>
          </cell>
          <cell r="I804" t="str">
            <v>99-003042</v>
          </cell>
        </row>
        <row r="805">
          <cell r="B805" t="str">
            <v>302-002023</v>
          </cell>
          <cell r="C805" t="str">
            <v>Atlas300I Duo推理x16-48G-150W-SWFHFL全高挡片</v>
          </cell>
          <cell r="D805" t="str">
            <v>02314GAB</v>
          </cell>
          <cell r="E805" t="str">
            <v>AI推理卡</v>
          </cell>
          <cell r="F805">
            <v>6.3E-3</v>
          </cell>
          <cell r="G805">
            <v>106</v>
          </cell>
        </row>
        <row r="806">
          <cell r="B806" t="str">
            <v>302-003017</v>
          </cell>
          <cell r="C806" t="str">
            <v>电源电缆0.35&amp;0.27m-H2X10(3.0)-H2X4(3.0)*4</v>
          </cell>
          <cell r="D806" t="str">
            <v>04155502</v>
          </cell>
          <cell r="E806" t="str">
            <v>线缆</v>
          </cell>
          <cell r="F806">
            <v>2E-3</v>
          </cell>
          <cell r="G806">
            <v>579</v>
          </cell>
        </row>
        <row r="807">
          <cell r="B807" t="str">
            <v>302-001913</v>
          </cell>
          <cell r="C807" t="str">
            <v>NVMeSSD-R5301-1.6T-U.2-PCIe4-2.5-读写 DPW</v>
          </cell>
          <cell r="D807" t="str">
            <v>DPRD3102T0T601T6000</v>
          </cell>
          <cell r="E807" t="str">
            <v>硬盘</v>
          </cell>
          <cell r="F807">
            <v>5.4999999999999997E-3</v>
          </cell>
          <cell r="G807">
            <v>69</v>
          </cell>
          <cell r="I807" t="str">
            <v>99-001913</v>
          </cell>
        </row>
        <row r="808">
          <cell r="B808" t="str">
            <v>302-003011</v>
          </cell>
          <cell r="C808" t="str">
            <v>S内存DDR4-16G-2933-2Rx8-RD SX V1.0</v>
          </cell>
          <cell r="D808">
            <v>2510057</v>
          </cell>
          <cell r="E808" t="str">
            <v>内存</v>
          </cell>
          <cell r="F808">
            <v>2E-3</v>
          </cell>
          <cell r="G808">
            <v>569</v>
          </cell>
        </row>
        <row r="809">
          <cell r="B809" t="str">
            <v>302-001603</v>
          </cell>
          <cell r="C809" t="str">
            <v>SSD C6536-3.2T-NVMe4.0-HHHL读写YHCY V1.0</v>
          </cell>
          <cell r="D809" t="str">
            <v>P6536CH0320M00</v>
          </cell>
          <cell r="E809" t="str">
            <v>硬盘</v>
          </cell>
          <cell r="F809">
            <v>5.4999999999999997E-3</v>
          </cell>
          <cell r="G809">
            <v>0</v>
          </cell>
        </row>
        <row r="810">
          <cell r="B810" t="str">
            <v>302-002095</v>
          </cell>
          <cell r="C810" t="str">
            <v>S主板S920S00-2*5220(32C@2.6)-AG-VE-1711</v>
          </cell>
          <cell r="D810" t="str">
            <v>03050EHJ</v>
          </cell>
          <cell r="E810" t="str">
            <v>主板</v>
          </cell>
          <cell r="F810">
            <v>8.5000000000000006E-3</v>
          </cell>
          <cell r="G810">
            <v>101</v>
          </cell>
          <cell r="I810" t="str">
            <v>99-000708</v>
          </cell>
        </row>
        <row r="811">
          <cell r="B811" t="str">
            <v>302-002238</v>
          </cell>
          <cell r="C811" t="str">
            <v>RAID扣卡 SR450C-M 2G(Avago3508)</v>
          </cell>
          <cell r="D811" t="str">
            <v>03033EFT</v>
          </cell>
          <cell r="E811" t="str">
            <v>RAID卡</v>
          </cell>
          <cell r="F811">
            <v>7.7999999999999996E-3</v>
          </cell>
          <cell r="G811">
            <v>24</v>
          </cell>
          <cell r="I811" t="str">
            <v>99-000134</v>
          </cell>
        </row>
        <row r="812">
          <cell r="B812" t="str">
            <v>302-001590</v>
          </cell>
          <cell r="C812" t="str">
            <v>RAID标卡-2GB 9460-8i-PCIe</v>
          </cell>
          <cell r="D812" t="str">
            <v>9460-8I</v>
          </cell>
          <cell r="E812" t="str">
            <v>RAID卡</v>
          </cell>
          <cell r="F812">
            <v>7.7999999999999996E-3</v>
          </cell>
          <cell r="G812">
            <v>17</v>
          </cell>
          <cell r="I812" t="str">
            <v>99-001066</v>
          </cell>
        </row>
        <row r="813">
          <cell r="B813" t="str">
            <v>302-002658</v>
          </cell>
          <cell r="C813" t="str">
            <v>S内存DDR4-16G-2933-2Rx8-RD HLS V1.0-LJ</v>
          </cell>
          <cell r="D813" t="str">
            <v>HMA82GR7CJR8N-WM</v>
          </cell>
          <cell r="E813" t="str">
            <v>内存</v>
          </cell>
          <cell r="F813">
            <v>2E-3</v>
          </cell>
          <cell r="G813">
            <v>86</v>
          </cell>
          <cell r="I813" t="str">
            <v>99-002658</v>
          </cell>
        </row>
        <row r="814">
          <cell r="B814" t="str">
            <v>302-002220</v>
          </cell>
          <cell r="C814" t="str">
            <v>"机箱 12*3.5硬盘EXP 2U2P,K22R-02"</v>
          </cell>
          <cell r="D814" t="str">
            <v>02312WWV</v>
          </cell>
          <cell r="E814" t="str">
            <v>机箱/硬盘背板</v>
          </cell>
          <cell r="F814">
            <v>2.8999999999999998E-3</v>
          </cell>
          <cell r="G814">
            <v>1</v>
          </cell>
          <cell r="I814" t="str">
            <v>88-000288</v>
          </cell>
        </row>
        <row r="815">
          <cell r="B815" t="str">
            <v>302-003121</v>
          </cell>
          <cell r="C815" t="str">
            <v>NVMeSSD J5110-1.92T-AIC PCle4-读取 DPW</v>
          </cell>
          <cell r="D815" t="str">
            <v>DPJD4202T0T801T9000</v>
          </cell>
          <cell r="E815" t="str">
            <v>硬盘</v>
          </cell>
          <cell r="F815">
            <v>5.4999999999999997E-3</v>
          </cell>
          <cell r="G815">
            <v>20</v>
          </cell>
        </row>
        <row r="816">
          <cell r="B816" t="str">
            <v>302-002843</v>
          </cell>
          <cell r="C816" t="str">
            <v>NVMeSSD D7456-6.4T-U.2 PCIe4-2.5 读写DERA</v>
          </cell>
          <cell r="D816" t="str">
            <v>DERAP44YGM06T4US</v>
          </cell>
          <cell r="E816" t="str">
            <v>硬盘</v>
          </cell>
          <cell r="F816">
            <v>5.4999999999999997E-3</v>
          </cell>
          <cell r="G816">
            <v>6</v>
          </cell>
          <cell r="I816" t="str">
            <v>99-002843</v>
          </cell>
        </row>
        <row r="817">
          <cell r="B817" t="str">
            <v>302-002217</v>
          </cell>
          <cell r="C817" t="str">
            <v>S主板S920X00-2*5250(48C@2.6)LJ-1710</v>
          </cell>
          <cell r="D817" t="str">
            <v>03027WNC</v>
          </cell>
          <cell r="E817" t="str">
            <v>主板</v>
          </cell>
          <cell r="F817">
            <v>8.5000000000000006E-3</v>
          </cell>
          <cell r="G817">
            <v>12</v>
          </cell>
          <cell r="I817" t="str">
            <v>99-000711</v>
          </cell>
        </row>
        <row r="818">
          <cell r="B818" t="str">
            <v>302-002692</v>
          </cell>
          <cell r="C818" t="str">
            <v>天池4SAS+8NVME英寸硬盘背板-BC83NHBA</v>
          </cell>
          <cell r="D818">
            <v>302023932</v>
          </cell>
          <cell r="E818" t="str">
            <v>机箱/硬盘背板</v>
          </cell>
          <cell r="F818">
            <v>2.8999999999999998E-3</v>
          </cell>
          <cell r="G818">
            <v>142</v>
          </cell>
          <cell r="I818" t="str">
            <v>88-002692</v>
          </cell>
        </row>
        <row r="819">
          <cell r="B819" t="str">
            <v>302-002963</v>
          </cell>
          <cell r="C819" t="str">
            <v>天池制成板-TS200-2280-BC83RCIA-右挂耳板-5*2</v>
          </cell>
          <cell r="D819">
            <v>302023953</v>
          </cell>
          <cell r="E819" t="str">
            <v>挂耳</v>
          </cell>
          <cell r="F819">
            <v>1.6000000000000001E-3</v>
          </cell>
          <cell r="G819">
            <v>2505</v>
          </cell>
          <cell r="I819" t="str">
            <v>99-002963</v>
          </cell>
        </row>
        <row r="820">
          <cell r="B820" t="str">
            <v>302-002961</v>
          </cell>
          <cell r="C820" t="str">
            <v>天池-BC83FDCA-风扇板</v>
          </cell>
          <cell r="D820">
            <v>302023924</v>
          </cell>
          <cell r="E820" t="str">
            <v>风扇</v>
          </cell>
          <cell r="F820">
            <v>2.8999999999999998E-3</v>
          </cell>
          <cell r="G820">
            <v>2571</v>
          </cell>
        </row>
        <row r="821">
          <cell r="B821" t="str">
            <v>302-002964</v>
          </cell>
          <cell r="C821" t="str">
            <v>功能模块-8038+天池风扇组件</v>
          </cell>
          <cell r="D821" t="str">
            <v>02314BLG</v>
          </cell>
          <cell r="E821" t="str">
            <v>风扇</v>
          </cell>
          <cell r="F821">
            <v>2.8999999999999998E-3</v>
          </cell>
          <cell r="G821">
            <v>33</v>
          </cell>
        </row>
        <row r="822">
          <cell r="B822" t="str">
            <v>302-002960</v>
          </cell>
          <cell r="C822" t="str">
            <v>天池服务器-BC83SMMB-AE-扩展板</v>
          </cell>
          <cell r="D822" t="str">
            <v>02314GNU</v>
          </cell>
          <cell r="E822" t="str">
            <v>机箱/硬盘背板</v>
          </cell>
          <cell r="F822">
            <v>2.8999999999999998E-3</v>
          </cell>
          <cell r="G822">
            <v>0</v>
          </cell>
          <cell r="I822" t="str">
            <v>88-003200</v>
          </cell>
        </row>
        <row r="823">
          <cell r="B823" t="str">
            <v>302-002959</v>
          </cell>
          <cell r="C823" t="str">
            <v>信号线-天池基础板与扩展板低速信号线0.1m-(H2X25(1.0)</v>
          </cell>
          <cell r="D823">
            <v>4053293</v>
          </cell>
          <cell r="E823" t="str">
            <v>线缆</v>
          </cell>
          <cell r="F823">
            <v>2E-3</v>
          </cell>
          <cell r="G823">
            <v>2571</v>
          </cell>
        </row>
        <row r="824">
          <cell r="B824" t="str">
            <v>302-002958</v>
          </cell>
          <cell r="C824" t="str">
            <v>信号线-天池8盘前置背板信号线0.75m-(H2X8(2.0))-2/4pin</v>
          </cell>
          <cell r="D824" t="str">
            <v>04080975-005</v>
          </cell>
          <cell r="E824" t="str">
            <v>线缆</v>
          </cell>
          <cell r="F824">
            <v>2E-3</v>
          </cell>
          <cell r="G824">
            <v>2314</v>
          </cell>
        </row>
        <row r="825">
          <cell r="B825" t="str">
            <v>302-002957</v>
          </cell>
          <cell r="C825" t="str">
            <v>信号线-天池风扇板信号线0.47m-(H2X6(2.0))-2/4pin</v>
          </cell>
          <cell r="D825" t="str">
            <v>04080974-004</v>
          </cell>
          <cell r="E825" t="str">
            <v>线缆</v>
          </cell>
          <cell r="F825">
            <v>2E-3</v>
          </cell>
          <cell r="G825">
            <v>2571</v>
          </cell>
        </row>
        <row r="826">
          <cell r="B826" t="str">
            <v>302-002036</v>
          </cell>
          <cell r="C826" t="str">
            <v>主板到风扇板电源线缆,天池3.0,04154103-001,62厘米,80A</v>
          </cell>
          <cell r="D826" t="str">
            <v>04154103-001</v>
          </cell>
          <cell r="E826" t="str">
            <v>线缆</v>
          </cell>
          <cell r="F826">
            <v>2E-3</v>
          </cell>
          <cell r="G826">
            <v>8</v>
          </cell>
          <cell r="I826" t="str">
            <v>99-003125</v>
          </cell>
        </row>
        <row r="827">
          <cell r="B827" t="str">
            <v>302-002956</v>
          </cell>
          <cell r="C827" t="str">
            <v>UBC8X弯式-直式-100mm-0.16mm-10mm-16000MB/s</v>
          </cell>
          <cell r="D827">
            <v>14270095</v>
          </cell>
          <cell r="E827" t="str">
            <v>线缆</v>
          </cell>
          <cell r="F827">
            <v>2E-3</v>
          </cell>
          <cell r="G827">
            <v>3905</v>
          </cell>
        </row>
        <row r="828">
          <cell r="B828" t="str">
            <v>302-002955</v>
          </cell>
          <cell r="C828" t="str">
            <v>信号线-天池左挂耳板信号线0.85m-(H2X10(2.0))</v>
          </cell>
          <cell r="D828" t="str">
            <v>04080550-026</v>
          </cell>
          <cell r="E828" t="str">
            <v>线缆</v>
          </cell>
          <cell r="F828">
            <v>2E-3</v>
          </cell>
          <cell r="G828">
            <v>2571</v>
          </cell>
        </row>
        <row r="829">
          <cell r="B829" t="str">
            <v>302-002962</v>
          </cell>
          <cell r="C829" t="str">
            <v>信号线-天池右挂耳板信号线0.65m-(H2X25(1.0))</v>
          </cell>
          <cell r="D829">
            <v>4052666</v>
          </cell>
          <cell r="E829" t="str">
            <v>线缆</v>
          </cell>
          <cell r="F829">
            <v>2E-3</v>
          </cell>
          <cell r="G829">
            <v>2571</v>
          </cell>
        </row>
        <row r="830">
          <cell r="B830" t="str">
            <v>302-003027</v>
          </cell>
          <cell r="C830" t="str">
            <v>连接器模组UBC 8X 弯式转直式-650mm-16000MB/s</v>
          </cell>
          <cell r="D830" t="str">
            <v>14270055-010</v>
          </cell>
          <cell r="E830" t="str">
            <v>线缆</v>
          </cell>
          <cell r="F830">
            <v>2E-3</v>
          </cell>
          <cell r="G830">
            <v>445</v>
          </cell>
        </row>
        <row r="831">
          <cell r="B831" t="str">
            <v>302-003028</v>
          </cell>
          <cell r="C831" t="str">
            <v>连接器模组UBC 8X 弯式转直式-750mm-16000MB/s</v>
          </cell>
          <cell r="D831" t="str">
            <v>14270055-016</v>
          </cell>
          <cell r="E831" t="str">
            <v>线缆</v>
          </cell>
          <cell r="F831">
            <v>2E-3</v>
          </cell>
          <cell r="G831">
            <v>150</v>
          </cell>
        </row>
        <row r="832">
          <cell r="B832" t="str">
            <v>302-003026</v>
          </cell>
          <cell r="C832" t="str">
            <v>连接器模组*2-UBCDD 16X直公-UBC8X弯公*2-700mm</v>
          </cell>
          <cell r="D832" t="str">
            <v>14270058-009</v>
          </cell>
          <cell r="E832" t="str">
            <v>线缆</v>
          </cell>
          <cell r="F832">
            <v>2E-3</v>
          </cell>
          <cell r="G832">
            <v>445</v>
          </cell>
        </row>
        <row r="833">
          <cell r="B833" t="str">
            <v>302-001762</v>
          </cell>
          <cell r="C833" t="str">
            <v>AI卡Atlas 300V Pro 1*x16(HHHL)DDR4*48GB</v>
          </cell>
          <cell r="D833" t="str">
            <v>02314CWR</v>
          </cell>
          <cell r="E833" t="str">
            <v>AI推理卡</v>
          </cell>
          <cell r="F833">
            <v>6.3E-3</v>
          </cell>
          <cell r="G833">
            <v>14</v>
          </cell>
          <cell r="I833" t="str">
            <v>99-002442</v>
          </cell>
        </row>
        <row r="834">
          <cell r="B834" t="str">
            <v>302-000727</v>
          </cell>
          <cell r="C834" t="str">
            <v>高速电缆100G QSFP28,3m,IB</v>
          </cell>
          <cell r="D834">
            <v>4051404</v>
          </cell>
          <cell r="E834" t="str">
            <v>线缆</v>
          </cell>
          <cell r="F834">
            <v>2E-3</v>
          </cell>
          <cell r="G834">
            <v>6</v>
          </cell>
        </row>
        <row r="835">
          <cell r="B835" t="str">
            <v>302-002699</v>
          </cell>
          <cell r="C835" t="str">
            <v>SSD S4620-3.84T-SATA-2.5 读写 Intel</v>
          </cell>
          <cell r="D835" t="str">
            <v>SSDSC2KG038TZ</v>
          </cell>
          <cell r="E835" t="str">
            <v>硬盘</v>
          </cell>
          <cell r="F835">
            <v>5.4999999999999997E-3</v>
          </cell>
          <cell r="G835">
            <v>1168</v>
          </cell>
          <cell r="I835" t="str">
            <v>99-003708</v>
          </cell>
        </row>
        <row r="836">
          <cell r="B836" t="str">
            <v>302-003215</v>
          </cell>
          <cell r="C836" t="str">
            <v>内存-64G-2Rx4-3200-RD HLS</v>
          </cell>
          <cell r="D836" t="str">
            <v>HMAA8GR7CJR4N-XN</v>
          </cell>
          <cell r="E836" t="str">
            <v>内存</v>
          </cell>
          <cell r="F836">
            <v>2E-3</v>
          </cell>
          <cell r="G836">
            <v>85469</v>
          </cell>
          <cell r="I836" t="str">
            <v>99-001862</v>
          </cell>
        </row>
        <row r="837">
          <cell r="B837" t="str">
            <v>302-003092</v>
          </cell>
          <cell r="C837" t="str">
            <v>NVMeSSD P7940-15.36T-U.2 Pcie5 2.5读取YHCY</v>
          </cell>
          <cell r="D837" t="str">
            <v>P7940DT1536Y00</v>
          </cell>
          <cell r="E837" t="str">
            <v>硬盘</v>
          </cell>
          <cell r="F837">
            <v>5.4999999999999997E-3</v>
          </cell>
          <cell r="G837">
            <v>30</v>
          </cell>
        </row>
        <row r="838">
          <cell r="B838" t="str">
            <v>302-002137</v>
          </cell>
          <cell r="C838" t="str">
            <v>S主板S920X00-2*7260(64C@2.6)-BF-1711-3A-VD</v>
          </cell>
          <cell r="D838" t="str">
            <v>03050JKT</v>
          </cell>
          <cell r="E838" t="str">
            <v>主板</v>
          </cell>
          <cell r="F838">
            <v>8.5000000000000006E-3</v>
          </cell>
          <cell r="G838">
            <v>70</v>
          </cell>
          <cell r="I838" t="str">
            <v>99-000712</v>
          </cell>
        </row>
        <row r="839">
          <cell r="B839" t="str">
            <v>304-000425</v>
          </cell>
          <cell r="C839" t="str">
            <v>A924A2典配L10-4*920-8*910-WZ</v>
          </cell>
          <cell r="D839" t="str">
            <v>S900K3</v>
          </cell>
          <cell r="E839" t="str">
            <v>L6典配</v>
          </cell>
          <cell r="F839">
            <v>2.8999999999999998E-3</v>
          </cell>
          <cell r="G839">
            <v>8</v>
          </cell>
        </row>
        <row r="840">
          <cell r="B840" t="str">
            <v>302-002879</v>
          </cell>
          <cell r="C840" t="str">
            <v>服务器12*3.5英寸硬盘直通机箱-A222</v>
          </cell>
          <cell r="D840" t="str">
            <v>02314PLP</v>
          </cell>
          <cell r="E840" t="str">
            <v>机箱/硬盘背板</v>
          </cell>
          <cell r="F840">
            <v>2.8999999999999998E-3</v>
          </cell>
          <cell r="G840">
            <v>7</v>
          </cell>
          <cell r="I840" t="str">
            <v>88-000296</v>
          </cell>
        </row>
        <row r="841">
          <cell r="B841" t="str">
            <v>302-002880</v>
          </cell>
          <cell r="C841" t="str">
            <v>S主板S920S03-1*3210(24C@2.6)-AP-3A</v>
          </cell>
          <cell r="D841" t="str">
            <v>03050EKE</v>
          </cell>
          <cell r="E841" t="str">
            <v>主板</v>
          </cell>
          <cell r="F841">
            <v>8.5000000000000006E-3</v>
          </cell>
          <cell r="G841">
            <v>0</v>
          </cell>
          <cell r="I841" t="str">
            <v>99-002880</v>
          </cell>
        </row>
        <row r="842">
          <cell r="B842" t="str">
            <v>302-000261</v>
          </cell>
          <cell r="C842" t="str">
            <v>S内存DDR4-16G-2933-2Rx8-RD HLS V1.0</v>
          </cell>
          <cell r="D842">
            <v>6200286</v>
          </cell>
          <cell r="E842" t="str">
            <v>内存</v>
          </cell>
          <cell r="F842">
            <v>2E-3</v>
          </cell>
          <cell r="G842">
            <v>144</v>
          </cell>
          <cell r="I842" t="str">
            <v>99-002658</v>
          </cell>
        </row>
        <row r="843">
          <cell r="B843" t="str">
            <v>302-003065</v>
          </cell>
          <cell r="C843" t="str">
            <v>NVMeSSD UH811a-3.84TB-PCIe4-2.5读取YL-K</v>
          </cell>
          <cell r="D843" t="str">
            <v>RP2A43T8RK004LX</v>
          </cell>
          <cell r="E843" t="str">
            <v>硬盘</v>
          </cell>
          <cell r="F843">
            <v>5.4999999999999997E-3</v>
          </cell>
          <cell r="G843">
            <v>2596</v>
          </cell>
          <cell r="I843" t="str">
            <v>99-002080</v>
          </cell>
        </row>
        <row r="844">
          <cell r="B844" t="str">
            <v>302-001635</v>
          </cell>
          <cell r="C844" t="str">
            <v>SSD SDHKD-UE-1.6TB-NVMe3.0-2.5-读写YX V1.1</v>
          </cell>
          <cell r="D844" t="str">
            <v>SDHKD-UE1600</v>
          </cell>
          <cell r="E844" t="str">
            <v>硬盘</v>
          </cell>
          <cell r="F844">
            <v>5.4999999999999997E-3</v>
          </cell>
          <cell r="G844">
            <v>1525</v>
          </cell>
        </row>
        <row r="845">
          <cell r="B845" t="str">
            <v>302-002382</v>
          </cell>
          <cell r="C845" t="str">
            <v>S主板S920X00-2*5255F(48C@3.0)AH-VD-1711-3A</v>
          </cell>
          <cell r="D845" t="str">
            <v>03050JAT</v>
          </cell>
          <cell r="E845" t="str">
            <v>主板</v>
          </cell>
          <cell r="F845">
            <v>8.5000000000000006E-3</v>
          </cell>
          <cell r="G845">
            <v>1</v>
          </cell>
          <cell r="I845" t="str">
            <v>99-002738</v>
          </cell>
        </row>
        <row r="846">
          <cell r="B846" t="str">
            <v>302-002701</v>
          </cell>
          <cell r="C846" t="str">
            <v>NVMeSSD P5530-3.84T-U.2-PCIe4-2.5读取Intel</v>
          </cell>
          <cell r="D846" t="str">
            <v>SSDPF2KX038XZ</v>
          </cell>
          <cell r="E846" t="str">
            <v>硬盘</v>
          </cell>
          <cell r="F846">
            <v>5.4999999999999997E-3</v>
          </cell>
          <cell r="G846">
            <v>193</v>
          </cell>
          <cell r="I846" t="str">
            <v>99-003060</v>
          </cell>
        </row>
        <row r="847">
          <cell r="B847" t="str">
            <v>302-002951</v>
          </cell>
          <cell r="C847" t="str">
            <v>SSD-3.84T-SATA 6Gb-2.5-读取-JBL-from HW</v>
          </cell>
          <cell r="D847" t="str">
            <v>02550820</v>
          </cell>
          <cell r="E847" t="str">
            <v>硬盘</v>
          </cell>
          <cell r="F847">
            <v>5.4999999999999997E-3</v>
          </cell>
          <cell r="G847">
            <v>3774</v>
          </cell>
          <cell r="I847" t="str">
            <v>99-000864</v>
          </cell>
        </row>
        <row r="848">
          <cell r="B848" t="str">
            <v>302-001882</v>
          </cell>
          <cell r="C848" t="str">
            <v>S主板S920S10-2*5220(32C@2.6G) AD</v>
          </cell>
          <cell r="D848" t="str">
            <v>03050GVD</v>
          </cell>
          <cell r="E848" t="str">
            <v>主板</v>
          </cell>
          <cell r="F848">
            <v>8.5000000000000006E-3</v>
          </cell>
          <cell r="G848">
            <v>241</v>
          </cell>
          <cell r="I848" t="str">
            <v>99-001882</v>
          </cell>
        </row>
        <row r="849">
          <cell r="B849" t="str">
            <v>302-003185</v>
          </cell>
          <cell r="C849" t="str">
            <v>S主板S920S10-2*5220（32C@2.6G）-AP</v>
          </cell>
          <cell r="D849" t="str">
            <v>03035FRV</v>
          </cell>
          <cell r="E849" t="str">
            <v>主板</v>
          </cell>
          <cell r="F849">
            <v>8.5000000000000006E-3</v>
          </cell>
          <cell r="G849">
            <v>19</v>
          </cell>
          <cell r="I849" t="str">
            <v>99-001882</v>
          </cell>
        </row>
        <row r="850">
          <cell r="B850" t="str">
            <v>302-003183</v>
          </cell>
          <cell r="C850" t="str">
            <v>S主板S920X10-2*5250（48C@2.6G）-AT-1711</v>
          </cell>
          <cell r="D850" t="str">
            <v>03035FRW</v>
          </cell>
          <cell r="E850" t="str">
            <v>主板</v>
          </cell>
          <cell r="F850">
            <v>8.5000000000000006E-3</v>
          </cell>
          <cell r="G850">
            <v>1982</v>
          </cell>
          <cell r="I850" t="str">
            <v>99-001894</v>
          </cell>
        </row>
        <row r="851">
          <cell r="B851" t="str">
            <v>302-001899</v>
          </cell>
          <cell r="C851" t="str">
            <v>板对板UBC线缆-74-8X弯式-8X直式-32GB/s</v>
          </cell>
          <cell r="D851" t="str">
            <v>14270055-002</v>
          </cell>
          <cell r="E851" t="str">
            <v>线缆</v>
          </cell>
          <cell r="F851">
            <v>2E-3</v>
          </cell>
          <cell r="G851">
            <v>224</v>
          </cell>
          <cell r="I851" t="str">
            <v>99-001899</v>
          </cell>
        </row>
        <row r="852">
          <cell r="B852" t="str">
            <v>302-002021</v>
          </cell>
          <cell r="C852" t="str">
            <v>灵活网卡SF223D-H-2*10G/25G-SFP+-SFP28不含模</v>
          </cell>
          <cell r="D852" t="str">
            <v>0302023956</v>
          </cell>
          <cell r="E852" t="str">
            <v>灵活网卡</v>
          </cell>
          <cell r="F852">
            <v>5.7999999999999996E-3</v>
          </cell>
          <cell r="G852">
            <v>224</v>
          </cell>
        </row>
        <row r="853">
          <cell r="B853" t="str">
            <v>302-003129</v>
          </cell>
          <cell r="C853" t="str">
            <v>网卡-SP670-2*100G-QSFP28-pcie4.0x16-无模</v>
          </cell>
          <cell r="D853" t="str">
            <v>02314CRT</v>
          </cell>
          <cell r="E853" t="str">
            <v>网卡</v>
          </cell>
          <cell r="F853">
            <v>5.7999999999999996E-3</v>
          </cell>
          <cell r="G853">
            <v>153</v>
          </cell>
          <cell r="I853" t="str">
            <v>99-003129</v>
          </cell>
        </row>
        <row r="854">
          <cell r="B854" t="str">
            <v>302-003172</v>
          </cell>
          <cell r="C854" t="str">
            <v>SAS SSD-3.84T-2.5"读密集-HW</v>
          </cell>
          <cell r="D854" t="str">
            <v>02314AKD</v>
          </cell>
          <cell r="E854" t="str">
            <v>硬盘</v>
          </cell>
          <cell r="F854">
            <v>5.4999999999999997E-3</v>
          </cell>
          <cell r="G854">
            <v>520</v>
          </cell>
          <cell r="I854" t="str">
            <v>99-000083</v>
          </cell>
        </row>
        <row r="855">
          <cell r="B855" t="str">
            <v>302-002846</v>
          </cell>
          <cell r="C855" t="str">
            <v>NVMeSSD D7436-7.68T-U.2 PCIe4-2.5 读取DERA</v>
          </cell>
          <cell r="D855" t="str">
            <v>DERAP44YGR07T6US</v>
          </cell>
          <cell r="E855" t="str">
            <v>硬盘</v>
          </cell>
          <cell r="F855">
            <v>5.4999999999999997E-3</v>
          </cell>
          <cell r="G855">
            <v>424</v>
          </cell>
        </row>
        <row r="856">
          <cell r="B856" t="str">
            <v>302-001174</v>
          </cell>
          <cell r="C856" t="str">
            <v>S主板 S920S03-3210-AP 1*（920,24C）1711</v>
          </cell>
          <cell r="D856" t="str">
            <v>03050EKE</v>
          </cell>
          <cell r="E856" t="str">
            <v>主板</v>
          </cell>
          <cell r="F856">
            <v>8.5000000000000006E-3</v>
          </cell>
          <cell r="G856">
            <v>0</v>
          </cell>
          <cell r="I856" t="str">
            <v>99-002880</v>
          </cell>
        </row>
        <row r="857">
          <cell r="B857" t="str">
            <v>302-001881</v>
          </cell>
          <cell r="C857" t="str">
            <v>天池机箱2U2P-12*3.5英寸硬盘EXP机箱(白牌)-S10</v>
          </cell>
          <cell r="D857" t="str">
            <v>02314BKY</v>
          </cell>
          <cell r="E857" t="str">
            <v>机箱/硬盘背板</v>
          </cell>
          <cell r="F857">
            <v>2.8999999999999998E-3</v>
          </cell>
          <cell r="G857">
            <v>134</v>
          </cell>
          <cell r="I857" t="str">
            <v>88-002689</v>
          </cell>
        </row>
        <row r="858">
          <cell r="B858" t="str">
            <v>302-002160</v>
          </cell>
          <cell r="C858" t="str">
            <v>天池机箱2U2P-12*3.5EXP-X10（不含SAS线）</v>
          </cell>
          <cell r="D858" t="str">
            <v>02314GUU</v>
          </cell>
          <cell r="E858" t="str">
            <v>机箱/硬盘背板</v>
          </cell>
          <cell r="F858">
            <v>2.8999999999999998E-3</v>
          </cell>
          <cell r="G858">
            <v>352</v>
          </cell>
          <cell r="I858" t="str">
            <v>88-002689</v>
          </cell>
        </row>
        <row r="859">
          <cell r="B859" t="str">
            <v>302-001890</v>
          </cell>
          <cell r="C859" t="str">
            <v>3*16X SLOT(PCIE X8)RISER1&amp;2模组-VF</v>
          </cell>
          <cell r="D859" t="str">
            <v>02580282</v>
          </cell>
          <cell r="E859" t="str">
            <v>Riser模组</v>
          </cell>
          <cell r="F859">
            <v>5.0000000000000001E-3</v>
          </cell>
          <cell r="G859">
            <v>1480</v>
          </cell>
        </row>
        <row r="860">
          <cell r="B860" t="str">
            <v>302-001547</v>
          </cell>
          <cell r="C860" t="str">
            <v>服务器12*3.5英寸硬盘EXP机箱x-A722</v>
          </cell>
          <cell r="D860" t="str">
            <v>02312YWM</v>
          </cell>
          <cell r="E860" t="str">
            <v>机箱/硬盘背板</v>
          </cell>
          <cell r="F860">
            <v>2.8999999999999998E-3</v>
          </cell>
          <cell r="G860">
            <v>1340</v>
          </cell>
          <cell r="I860" t="str">
            <v>88-000288</v>
          </cell>
        </row>
        <row r="861">
          <cell r="B861" t="str">
            <v>302-003040</v>
          </cell>
          <cell r="C861" t="str">
            <v>SSD S4520-480GB-SATA-2.5 读取 Intel</v>
          </cell>
          <cell r="D861" t="str">
            <v>SSDSC2KB480GZ</v>
          </cell>
          <cell r="E861" t="str">
            <v>硬盘</v>
          </cell>
          <cell r="F861">
            <v>5.4999999999999997E-3</v>
          </cell>
          <cell r="G861">
            <v>58</v>
          </cell>
          <cell r="I861" t="str">
            <v>99-000741</v>
          </cell>
        </row>
        <row r="862">
          <cell r="B862" t="str">
            <v>302-002582</v>
          </cell>
          <cell r="C862" t="str">
            <v>自研海光服务器,DVT,PCBA,主板,V120</v>
          </cell>
          <cell r="D862" t="str">
            <v>RY120-2200_MOTHERB</v>
          </cell>
          <cell r="E862" t="str">
            <v>主板</v>
          </cell>
          <cell r="F862">
            <v>8.5000000000000006E-3</v>
          </cell>
          <cell r="G862">
            <v>36</v>
          </cell>
        </row>
        <row r="863">
          <cell r="B863" t="str">
            <v>302-002850</v>
          </cell>
          <cell r="C863" t="str">
            <v>海光7360,24核,48线程,2.2/3.0GHz,封装LGA4094/SP3</v>
          </cell>
          <cell r="D863" t="str">
            <v>HYGON-7360</v>
          </cell>
          <cell r="E863" t="str">
            <v>CPU</v>
          </cell>
          <cell r="F863">
            <v>8.5000000000000006E-3</v>
          </cell>
          <cell r="G863">
            <v>66</v>
          </cell>
        </row>
        <row r="864">
          <cell r="B864" t="str">
            <v>302-003070</v>
          </cell>
          <cell r="C864" t="str">
            <v>海光7375,32核,64线程,2.0/3.0GHz,PCIE4.0x128,8</v>
          </cell>
          <cell r="D864" t="str">
            <v>HYGON-7375</v>
          </cell>
          <cell r="E864" t="str">
            <v>CPU</v>
          </cell>
          <cell r="F864">
            <v>8.5000000000000006E-3</v>
          </cell>
          <cell r="G864">
            <v>8</v>
          </cell>
        </row>
        <row r="865">
          <cell r="B865" t="str">
            <v>302-001959</v>
          </cell>
          <cell r="C865" t="str">
            <v>电源模块,CRPS,2000W,长城,GW-CRPS2000D,5180835,</v>
          </cell>
          <cell r="D865" t="str">
            <v>GW-CRPS2000D-51808,空</v>
          </cell>
          <cell r="E865" t="str">
            <v>电源</v>
          </cell>
          <cell r="F865">
            <v>5.0000000000000001E-3</v>
          </cell>
          <cell r="G865">
            <v>28</v>
          </cell>
        </row>
        <row r="866">
          <cell r="B866" t="str">
            <v>302-002591</v>
          </cell>
          <cell r="C866" t="str">
            <v>自研海光-OCP3.0网卡,光口2x10GE,IntelX710,NCSI,带2多模光模块</v>
          </cell>
          <cell r="D866" t="str">
            <v>OCP3.0网卡联瑞LRES3039,空</v>
          </cell>
          <cell r="E866" t="str">
            <v>其他板卡</v>
          </cell>
          <cell r="F866">
            <v>3.0999999999999999E-3</v>
          </cell>
          <cell r="G866">
            <v>47</v>
          </cell>
        </row>
        <row r="867">
          <cell r="B867" t="str">
            <v>302-002671</v>
          </cell>
          <cell r="C867" t="str">
            <v>自研海光服务器,DVT,PCBA,前置12x3.5”SAS直通硬盘背板,V100</v>
          </cell>
          <cell r="D867" t="str">
            <v>RY120-2200_FBP12X3-1,空</v>
          </cell>
          <cell r="E867" t="str">
            <v>其他板卡</v>
          </cell>
          <cell r="F867">
            <v>3.0999999999999999E-3</v>
          </cell>
          <cell r="G867">
            <v>49</v>
          </cell>
        </row>
        <row r="868">
          <cell r="B868" t="str">
            <v>302-001971</v>
          </cell>
          <cell r="C868" t="str">
            <v>电源模块,CRPS,1200W,220V转12V,40x73.5x185mm,2</v>
          </cell>
          <cell r="D868" t="str">
            <v>GW-CRPS1200D-51755,空</v>
          </cell>
          <cell r="E868" t="str">
            <v>电源</v>
          </cell>
          <cell r="F868">
            <v>5.0000000000000001E-3</v>
          </cell>
          <cell r="G868">
            <v>5</v>
          </cell>
        </row>
        <row r="869">
          <cell r="B869" t="str">
            <v>302-002409</v>
          </cell>
          <cell r="C869" t="str">
            <v>自研海光-OCP网卡,深圳瑞联,电口4GE,Intel I350,NCSI</v>
          </cell>
          <cell r="D869" t="str">
            <v>LRES3023PT-OCP,空</v>
          </cell>
          <cell r="E869" t="str">
            <v>其他板卡</v>
          </cell>
          <cell r="F869">
            <v>3.0999999999999999E-3</v>
          </cell>
          <cell r="G869">
            <v>46</v>
          </cell>
        </row>
        <row r="870">
          <cell r="B870" t="str">
            <v>302-002678</v>
          </cell>
          <cell r="C870" t="str">
            <v>自研海光服务器.DVTPCBA,4GPU.RISER13,V100</v>
          </cell>
          <cell r="D870" t="str">
            <v>ST39_4GPU_RISER13_,空</v>
          </cell>
          <cell r="E870" t="str">
            <v>其他板卡</v>
          </cell>
          <cell r="F870">
            <v>3.0999999999999999E-3</v>
          </cell>
          <cell r="G870">
            <v>24</v>
          </cell>
        </row>
        <row r="871">
          <cell r="B871" t="str">
            <v>302-002682</v>
          </cell>
          <cell r="C871" t="str">
            <v>自研海光服务器.DVTPCBA,4GPU.RISER24,V100</v>
          </cell>
          <cell r="D871" t="str">
            <v>ST39_4GPU_RISER24_,空</v>
          </cell>
          <cell r="E871" t="str">
            <v>其他板卡</v>
          </cell>
          <cell r="F871">
            <v>3.0999999999999999E-3</v>
          </cell>
          <cell r="G871">
            <v>24</v>
          </cell>
        </row>
        <row r="872">
          <cell r="B872" t="str">
            <v>302-002679</v>
          </cell>
          <cell r="C872" t="str">
            <v>自研海光服务器,DVTPCBA,8GPU,RISER12,V140</v>
          </cell>
          <cell r="D872" t="str">
            <v>RY120-2200_RISER12,空</v>
          </cell>
          <cell r="E872" t="str">
            <v>其他板卡</v>
          </cell>
          <cell r="F872">
            <v>3.0999999999999999E-3</v>
          </cell>
          <cell r="G872">
            <v>8</v>
          </cell>
        </row>
        <row r="873">
          <cell r="B873" t="str">
            <v>302-002705</v>
          </cell>
          <cell r="C873" t="str">
            <v>自研海光服务器.DVTPCBA,6GPU,RISER3,V130</v>
          </cell>
          <cell r="D873" t="str">
            <v>ST39_6GPU_RISER3_V,空</v>
          </cell>
          <cell r="E873" t="str">
            <v>其他板卡</v>
          </cell>
          <cell r="F873">
            <v>3.0999999999999999E-3</v>
          </cell>
          <cell r="G873">
            <v>4</v>
          </cell>
        </row>
        <row r="874">
          <cell r="B874" t="str">
            <v>302-002675</v>
          </cell>
          <cell r="C874" t="str">
            <v>自研海光服务器,DVT,PCBA,BMC板,V110</v>
          </cell>
          <cell r="D874" t="str">
            <v>RY120-2200_BMC_V11,空</v>
          </cell>
          <cell r="E874" t="str">
            <v>其他板卡</v>
          </cell>
          <cell r="F874">
            <v>3.0999999999999999E-3</v>
          </cell>
          <cell r="G874">
            <v>48</v>
          </cell>
        </row>
        <row r="875">
          <cell r="B875" t="str">
            <v>302-002795</v>
          </cell>
          <cell r="C875" t="str">
            <v>自研海光-8056风扇（FAB8056U12-PF08）-航嘉</v>
          </cell>
          <cell r="D875" t="str">
            <v>8056风扇（FAB8056U12-,空</v>
          </cell>
          <cell r="E875" t="str">
            <v>风扇</v>
          </cell>
          <cell r="F875">
            <v>2.8999999999999998E-3</v>
          </cell>
          <cell r="G875">
            <v>138</v>
          </cell>
        </row>
        <row r="876">
          <cell r="B876" t="str">
            <v>302-002980</v>
          </cell>
          <cell r="C876" t="str">
            <v>自研海光-ST项目专用,BMC到PC串口线缆,MiniUSB转USB,1米</v>
          </cell>
          <cell r="D876" t="str">
            <v>ST-MiniUSB-USB-1m</v>
          </cell>
          <cell r="E876" t="str">
            <v>线缆</v>
          </cell>
          <cell r="F876">
            <v>2E-3</v>
          </cell>
          <cell r="G876">
            <v>48</v>
          </cell>
        </row>
        <row r="877">
          <cell r="B877" t="str">
            <v>302-002674</v>
          </cell>
          <cell r="C877" t="str">
            <v>自研海光服务器,DVT,PCBA,左挂耳板,V110</v>
          </cell>
          <cell r="D877" t="str">
            <v>RY120-2200_LCI_V11,空</v>
          </cell>
          <cell r="E877" t="str">
            <v>其他板卡</v>
          </cell>
          <cell r="F877">
            <v>3.0999999999999999E-3</v>
          </cell>
          <cell r="G877">
            <v>49</v>
          </cell>
        </row>
        <row r="878">
          <cell r="B878" t="str">
            <v>302-002676</v>
          </cell>
          <cell r="C878" t="str">
            <v>自研海光服务器,DVT,PCBA,右挂耳板,V110</v>
          </cell>
          <cell r="D878" t="str">
            <v>RY120-2200_RCI_V11,空</v>
          </cell>
          <cell r="E878" t="str">
            <v>其他板卡</v>
          </cell>
          <cell r="F878">
            <v>3.0999999999999999E-3</v>
          </cell>
          <cell r="G878">
            <v>48</v>
          </cell>
        </row>
        <row r="879">
          <cell r="B879" t="str">
            <v>302-002673</v>
          </cell>
          <cell r="C879" t="str">
            <v>自研海光服务器,DVT,PCBA,风扇板,V110</v>
          </cell>
          <cell r="D879" t="str">
            <v>RY120-2200_FAN_V11,空</v>
          </cell>
          <cell r="E879" t="str">
            <v>其他板卡</v>
          </cell>
          <cell r="F879">
            <v>3.0999999999999999E-3</v>
          </cell>
          <cell r="G879">
            <v>49</v>
          </cell>
        </row>
        <row r="880">
          <cell r="B880" t="str">
            <v>302-002867</v>
          </cell>
          <cell r="C880" t="str">
            <v>自研海光-主板到壁仞GPU电源线缆1对1,8直转8直,180mm</v>
          </cell>
          <cell r="D880" t="str">
            <v>RY-MB-BRGPUPWR0180</v>
          </cell>
          <cell r="E880" t="str">
            <v>线缆</v>
          </cell>
          <cell r="F880">
            <v>2E-3</v>
          </cell>
          <cell r="G880">
            <v>118</v>
          </cell>
        </row>
        <row r="881">
          <cell r="B881" t="str">
            <v>302-002859</v>
          </cell>
          <cell r="C881" t="str">
            <v>主板到4GPU双宽RISER信号线缆,盛凌8直对8直,400mm,引脚1对1</v>
          </cell>
          <cell r="D881" t="str">
            <v>ST7380-MB-4GPU-R1-</v>
          </cell>
          <cell r="E881" t="str">
            <v>线缆</v>
          </cell>
          <cell r="F881">
            <v>2E-3</v>
          </cell>
          <cell r="G881">
            <v>28</v>
          </cell>
        </row>
        <row r="882">
          <cell r="B882" t="str">
            <v>302-002860</v>
          </cell>
          <cell r="C882" t="str">
            <v>主板到4GPU双宽RISER信号线缆,盛凌8直对8直,180mm,引脚1对1</v>
          </cell>
          <cell r="D882" t="str">
            <v>ST7380-MB-4GPU-RIS-2,ST7380-MB-4GPU-RIS</v>
          </cell>
          <cell r="E882" t="str">
            <v>线缆</v>
          </cell>
          <cell r="F882">
            <v>2E-3</v>
          </cell>
          <cell r="G882">
            <v>48</v>
          </cell>
        </row>
        <row r="883">
          <cell r="B883" t="str">
            <v>302-002869</v>
          </cell>
          <cell r="C883" t="str">
            <v>自研海光-主板到4GPU双宽RISER电源线缆1分2,12直转2直*2,250mm</v>
          </cell>
          <cell r="D883" t="str">
            <v>STMB4RPWRL02501to2</v>
          </cell>
          <cell r="E883" t="str">
            <v>线缆</v>
          </cell>
          <cell r="F883">
            <v>2E-3</v>
          </cell>
          <cell r="G883">
            <v>84</v>
          </cell>
        </row>
        <row r="884">
          <cell r="B884" t="str">
            <v>302-003083</v>
          </cell>
          <cell r="C884" t="str">
            <v>主板到商汤STPU电源线缆1对1,8直转6直,200mm</v>
          </cell>
          <cell r="D884" t="str">
            <v>H73MB-STPU-PWR0200</v>
          </cell>
          <cell r="E884" t="str">
            <v>线缆</v>
          </cell>
          <cell r="F884">
            <v>2E-3</v>
          </cell>
          <cell r="G884">
            <v>16</v>
          </cell>
        </row>
        <row r="885">
          <cell r="B885" t="str">
            <v>302-002868</v>
          </cell>
          <cell r="C885" t="str">
            <v>自研海光-主板到前置硬盘背板电源线,盛凌1349-084-FB-3,350mm,引脚1对1</v>
          </cell>
          <cell r="D885" t="str">
            <v>ST-MB-FBP-PWRL0350</v>
          </cell>
          <cell r="E885" t="str">
            <v>线缆</v>
          </cell>
          <cell r="F885">
            <v>2E-3</v>
          </cell>
          <cell r="G885">
            <v>48</v>
          </cell>
        </row>
        <row r="886">
          <cell r="B886" t="str">
            <v>302-002873</v>
          </cell>
          <cell r="C886" t="str">
            <v>自研海光-主板到右挂耳线缆立讯PGZB56-5300-008-1H,650mm,A1对A1</v>
          </cell>
          <cell r="D886" t="str">
            <v>ST-MB-RCI-SIGL0650</v>
          </cell>
          <cell r="E886" t="str">
            <v>线缆</v>
          </cell>
          <cell r="F886">
            <v>2E-3</v>
          </cell>
          <cell r="G886">
            <v>49</v>
          </cell>
        </row>
        <row r="887">
          <cell r="B887" t="str">
            <v>302-002877</v>
          </cell>
          <cell r="C887" t="str">
            <v>自研海光-主板到左挂耳电源和信号线,盛凌1230-201-07-3,650mm,引脚1对1</v>
          </cell>
          <cell r="D887" t="str">
            <v>ST-MB-LCI-SIGL0650</v>
          </cell>
          <cell r="E887" t="str">
            <v>线缆</v>
          </cell>
          <cell r="F887">
            <v>2E-3</v>
          </cell>
          <cell r="G887">
            <v>55</v>
          </cell>
        </row>
        <row r="888">
          <cell r="B888" t="str">
            <v>302-002870</v>
          </cell>
          <cell r="C888" t="str">
            <v>自研海光-主板到前置硬盘背板低速线,盛凌1230-161-E7-3,450mm,引脚1对1</v>
          </cell>
          <cell r="D888" t="str">
            <v>ST-MB-FBP-SIGL0450</v>
          </cell>
          <cell r="E888" t="str">
            <v>线缆</v>
          </cell>
          <cell r="F888">
            <v>2E-3</v>
          </cell>
          <cell r="G888">
            <v>54</v>
          </cell>
        </row>
        <row r="889">
          <cell r="B889" t="str">
            <v>302-002875</v>
          </cell>
          <cell r="C889" t="str">
            <v>自研海光-主板到风扇板电源线缆,盛凌1349-124-FB-3,550mm,引脚1对1</v>
          </cell>
          <cell r="D889" t="str">
            <v>ST-MB-FAN-PWRL0550</v>
          </cell>
          <cell r="E889" t="str">
            <v>线缆</v>
          </cell>
          <cell r="F889">
            <v>2E-3</v>
          </cell>
          <cell r="G889">
            <v>54</v>
          </cell>
        </row>
        <row r="890">
          <cell r="B890" t="str">
            <v>302-002876</v>
          </cell>
          <cell r="C890" t="str">
            <v>自研海光-主板到风扇板低速信号线缆,盛凌1230-121-E7-3,350mm,引脚1对1</v>
          </cell>
          <cell r="D890" t="str">
            <v>ST-MB-FAN-SIGL0350</v>
          </cell>
          <cell r="E890" t="str">
            <v>线缆</v>
          </cell>
          <cell r="F890">
            <v>2E-3</v>
          </cell>
          <cell r="G890">
            <v>54</v>
          </cell>
        </row>
        <row r="891">
          <cell r="B891" t="str">
            <v>302-002858</v>
          </cell>
          <cell r="C891" t="str">
            <v>主板到4GPU单宽RISER电源线缆1分2,12直转6直*2,260mm</v>
          </cell>
          <cell r="D891" t="str">
            <v>ST7380-MB-4GPU-RIS-1,ST7380-MB-4GPU-RIS</v>
          </cell>
          <cell r="E891" t="str">
            <v>线缆</v>
          </cell>
          <cell r="F891">
            <v>2E-3</v>
          </cell>
          <cell r="G891">
            <v>19</v>
          </cell>
        </row>
        <row r="892">
          <cell r="B892" t="str">
            <v>302-003074</v>
          </cell>
          <cell r="C892" t="str">
            <v>主板到4GPU-RISER5-Slim线缆,弯对直,100mm,A1toA1</v>
          </cell>
          <cell r="D892" t="str">
            <v>H73MB-4R5-SLIM0100</v>
          </cell>
          <cell r="E892" t="str">
            <v>线缆</v>
          </cell>
          <cell r="F892">
            <v>2E-3</v>
          </cell>
          <cell r="G892">
            <v>14</v>
          </cell>
        </row>
        <row r="893">
          <cell r="B893" t="str">
            <v>302-002856</v>
          </cell>
          <cell r="C893" t="str">
            <v>主板到8GPU-RISER1电源线缆1分2,12直转6直*2,190mm</v>
          </cell>
          <cell r="D893" t="str">
            <v>ST7380-MB-8GPU-RIS-3,ST7380-MB-8GPU-RIS</v>
          </cell>
          <cell r="E893" t="str">
            <v>线缆</v>
          </cell>
          <cell r="F893">
            <v>2E-3</v>
          </cell>
          <cell r="G893">
            <v>8</v>
          </cell>
        </row>
        <row r="894">
          <cell r="B894" t="str">
            <v>302-003072</v>
          </cell>
          <cell r="C894" t="str">
            <v>主板到8GPU-RISER1-Slim线缆,弯对直,360mm,A1toA1</v>
          </cell>
          <cell r="D894" t="str">
            <v>H73MB-8R1-SLIM0360</v>
          </cell>
          <cell r="E894" t="str">
            <v>线缆</v>
          </cell>
          <cell r="F894">
            <v>2E-3</v>
          </cell>
          <cell r="G894">
            <v>8</v>
          </cell>
        </row>
        <row r="895">
          <cell r="B895" t="str">
            <v>302-003073</v>
          </cell>
          <cell r="C895" t="str">
            <v>主板到8GPU-RISER2-Slim线缆,弯对直,260mm,A1toA1</v>
          </cell>
          <cell r="D895" t="str">
            <v>H73MB-8R2-SLIM0260</v>
          </cell>
          <cell r="E895" t="str">
            <v>线缆</v>
          </cell>
          <cell r="F895">
            <v>2E-3</v>
          </cell>
          <cell r="G895">
            <v>8</v>
          </cell>
        </row>
        <row r="896">
          <cell r="B896" t="str">
            <v>302-003076</v>
          </cell>
          <cell r="C896" t="str">
            <v>主板到8GPU-RISER1-Slim线缆,弯对直,310mm,A1toA1</v>
          </cell>
          <cell r="D896" t="str">
            <v>H73MB-8R1-SLIM0310</v>
          </cell>
          <cell r="E896" t="str">
            <v>线缆</v>
          </cell>
          <cell r="F896">
            <v>2E-3</v>
          </cell>
          <cell r="G896">
            <v>16</v>
          </cell>
        </row>
        <row r="897">
          <cell r="B897" t="str">
            <v>302-002878</v>
          </cell>
          <cell r="C897" t="str">
            <v>主板到壁仞GPU电源线缆1分2,8直转8直*2,180mm</v>
          </cell>
          <cell r="D897" t="str">
            <v>RMBGPUPWR0180-1to2</v>
          </cell>
          <cell r="E897" t="str">
            <v>线缆</v>
          </cell>
          <cell r="F897">
            <v>2E-3</v>
          </cell>
          <cell r="G897">
            <v>12</v>
          </cell>
        </row>
        <row r="898">
          <cell r="B898" t="str">
            <v>302-003077</v>
          </cell>
          <cell r="C898" t="str">
            <v>主板到8GPU-RISER1-Slim线缆,直对直,200mm,A1toA1</v>
          </cell>
          <cell r="D898" t="str">
            <v>H73MB-8R1-SLIM0200</v>
          </cell>
          <cell r="E898" t="str">
            <v>线缆</v>
          </cell>
          <cell r="F898">
            <v>2E-3</v>
          </cell>
          <cell r="G898">
            <v>4</v>
          </cell>
        </row>
        <row r="899">
          <cell r="B899" t="str">
            <v>302-003078</v>
          </cell>
          <cell r="C899" t="str">
            <v>主板到6GPU-RISER3-Slim线缆,直对直,550mm,A1toA1</v>
          </cell>
          <cell r="D899" t="str">
            <v>H73MB-6R3-SLIM0550</v>
          </cell>
          <cell r="E899" t="str">
            <v>线缆</v>
          </cell>
          <cell r="F899">
            <v>2E-3</v>
          </cell>
          <cell r="G899">
            <v>4</v>
          </cell>
        </row>
        <row r="900">
          <cell r="B900" t="str">
            <v>302-003079</v>
          </cell>
          <cell r="C900" t="str">
            <v>主板到8GPU-RISER2-Slim线缆,直对直,310mm,A1toA1</v>
          </cell>
          <cell r="D900" t="str">
            <v>H73MB-8R2-SLIM0310</v>
          </cell>
          <cell r="E900" t="str">
            <v>线缆</v>
          </cell>
          <cell r="F900">
            <v>2E-3</v>
          </cell>
          <cell r="G900">
            <v>8</v>
          </cell>
        </row>
        <row r="901">
          <cell r="B901" t="str">
            <v>302-003195</v>
          </cell>
          <cell r="C901" t="str">
            <v>机箱2U4P-25*2.5EXP-S920X02</v>
          </cell>
          <cell r="D901" t="str">
            <v>02314UWB</v>
          </cell>
          <cell r="E901" t="str">
            <v>机箱/硬盘背板</v>
          </cell>
          <cell r="F901">
            <v>2.8999999999999998E-3</v>
          </cell>
          <cell r="G901">
            <v>580</v>
          </cell>
          <cell r="I901" t="str">
            <v>88-000289</v>
          </cell>
        </row>
        <row r="902">
          <cell r="B902" t="str">
            <v>302-002598</v>
          </cell>
          <cell r="C902" t="str">
            <v>S主板S920X00-7265-AV 2*(64C@3.0) 1711</v>
          </cell>
          <cell r="D902" t="str">
            <v>03050LWG</v>
          </cell>
          <cell r="E902" t="str">
            <v>主板</v>
          </cell>
          <cell r="F902">
            <v>8.5000000000000006E-3</v>
          </cell>
          <cell r="G902">
            <v>192</v>
          </cell>
          <cell r="I902" t="str">
            <v>99-001369</v>
          </cell>
        </row>
        <row r="903">
          <cell r="B903" t="str">
            <v>304-000349</v>
          </cell>
          <cell r="C903" t="str">
            <v>A924典配4U-6*Nvme机箱-4*920-8*910B</v>
          </cell>
          <cell r="D903" t="str">
            <v>02313KVS</v>
          </cell>
          <cell r="E903" t="str">
            <v>L6典配</v>
          </cell>
          <cell r="F903">
            <v>2.8999999999999998E-3</v>
          </cell>
          <cell r="G903">
            <v>1</v>
          </cell>
        </row>
        <row r="904">
          <cell r="B904" t="str">
            <v>302-002634</v>
          </cell>
          <cell r="C904" t="str">
            <v>S主板 S920X00-2*5255(48C@3.0)-AN-VD</v>
          </cell>
          <cell r="D904" t="str">
            <v>03050LWP</v>
          </cell>
          <cell r="E904" t="str">
            <v>主板</v>
          </cell>
          <cell r="F904">
            <v>8.5000000000000006E-3</v>
          </cell>
          <cell r="G904">
            <v>253</v>
          </cell>
          <cell r="I904" t="str">
            <v>99-001004</v>
          </cell>
        </row>
        <row r="905">
          <cell r="B905" t="str">
            <v>302-001868</v>
          </cell>
          <cell r="C905" t="str">
            <v>千兆非屏蔽网线-白色-C6-4P/24AWJ-RJ45*2-L35M HT</v>
          </cell>
          <cell r="D905" t="str">
            <v>C6-35M</v>
          </cell>
          <cell r="E905" t="str">
            <v>线缆</v>
          </cell>
          <cell r="F905">
            <v>2E-3</v>
          </cell>
          <cell r="G905">
            <v>6</v>
          </cell>
        </row>
        <row r="906">
          <cell r="B906" t="str">
            <v>302-001869</v>
          </cell>
          <cell r="C906" t="str">
            <v>光纤跳线LC-LC多模双芯35米OM3 50/125 胜为</v>
          </cell>
          <cell r="D906" t="str">
            <v>FOC-1030</v>
          </cell>
          <cell r="E906" t="str">
            <v>线缆</v>
          </cell>
          <cell r="F906">
            <v>2E-3</v>
          </cell>
          <cell r="G906">
            <v>8</v>
          </cell>
        </row>
        <row r="907">
          <cell r="B907" t="str">
            <v>302-002894</v>
          </cell>
          <cell r="C907" t="str">
            <v>SSD DTS510S03-1.92T-SATA 6Gb-2.5-读写 DT</v>
          </cell>
          <cell r="D907" t="str">
            <v>J01T9SBLT3CCCDED80</v>
          </cell>
          <cell r="E907" t="str">
            <v>硬盘</v>
          </cell>
          <cell r="F907">
            <v>5.4999999999999997E-3</v>
          </cell>
          <cell r="G907">
            <v>1946</v>
          </cell>
        </row>
        <row r="908">
          <cell r="B908" t="str">
            <v>302-002895</v>
          </cell>
          <cell r="C908" t="str">
            <v>SSD DTS510S03-3.84T-SATA 6Gb-2.5-读写 DT</v>
          </cell>
          <cell r="D908" t="str">
            <v>J03T8SBLT3CCCDED80</v>
          </cell>
          <cell r="E908" t="str">
            <v>硬盘</v>
          </cell>
          <cell r="F908">
            <v>5.4999999999999997E-3</v>
          </cell>
          <cell r="G908">
            <v>9956</v>
          </cell>
          <cell r="I908" t="str">
            <v>99-002895</v>
          </cell>
        </row>
        <row r="909">
          <cell r="B909" t="str">
            <v>302-003062</v>
          </cell>
          <cell r="C909" t="str">
            <v>Riser模组-3*8X SLOT Riser1&amp;2</v>
          </cell>
          <cell r="D909" t="str">
            <v>02580298</v>
          </cell>
          <cell r="E909" t="str">
            <v>Riser模组</v>
          </cell>
          <cell r="F909">
            <v>5.0000000000000001E-3</v>
          </cell>
          <cell r="G909">
            <v>482</v>
          </cell>
          <cell r="I909" t="str">
            <v>99-003042</v>
          </cell>
        </row>
        <row r="910">
          <cell r="B910" t="str">
            <v>302-002646</v>
          </cell>
          <cell r="C910" t="str">
            <v>8850-64CQ-EI交换机(64*100GE QSFP28,2*交流电源)</v>
          </cell>
          <cell r="D910">
            <v>98011107</v>
          </cell>
          <cell r="E910" t="str">
            <v>电源</v>
          </cell>
          <cell r="F910">
            <v>5.0000000000000001E-3</v>
          </cell>
          <cell r="G910">
            <v>0</v>
          </cell>
        </row>
        <row r="911">
          <cell r="B911" t="str">
            <v>302-002647</v>
          </cell>
          <cell r="C911" t="str">
            <v>150W 交流电源模块</v>
          </cell>
          <cell r="D911" t="str">
            <v>02312DUY</v>
          </cell>
          <cell r="E911" t="str">
            <v>电源</v>
          </cell>
          <cell r="F911">
            <v>5.0000000000000001E-3</v>
          </cell>
          <cell r="G911">
            <v>0</v>
          </cell>
        </row>
        <row r="912">
          <cell r="B912" t="str">
            <v>302-002648</v>
          </cell>
          <cell r="C912" t="str">
            <v>光模块-SFP+-10G-多模模块(850nm,0.3km,LC)</v>
          </cell>
          <cell r="D912" t="str">
            <v>02313URC</v>
          </cell>
          <cell r="E912" t="str">
            <v>光模块</v>
          </cell>
          <cell r="F912">
            <v>4.1999999999999997E-3</v>
          </cell>
          <cell r="G912">
            <v>422</v>
          </cell>
          <cell r="I912" t="str">
            <v>99-000381</v>
          </cell>
        </row>
        <row r="913">
          <cell r="B913" t="str">
            <v>302-002649</v>
          </cell>
          <cell r="C913" t="str">
            <v>S5736-S48T4XC(48个10/100/1000BASE-T以太网端口</v>
          </cell>
          <cell r="D913" t="str">
            <v>空</v>
          </cell>
          <cell r="E913" t="str">
            <v>网卡</v>
          </cell>
          <cell r="F913">
            <v>5.7999999999999996E-3</v>
          </cell>
          <cell r="G913">
            <v>0</v>
          </cell>
        </row>
        <row r="914">
          <cell r="B914" t="str">
            <v>302-002650</v>
          </cell>
          <cell r="C914" t="str">
            <v>100GBase-SR4光模块-QSFP28-100G-多模模块</v>
          </cell>
          <cell r="D914" t="str">
            <v>02313URQ</v>
          </cell>
          <cell r="E914" t="str">
            <v>光模块</v>
          </cell>
          <cell r="F914">
            <v>4.1999999999999997E-3</v>
          </cell>
          <cell r="G914">
            <v>0</v>
          </cell>
        </row>
        <row r="915">
          <cell r="B915" t="str">
            <v>302-002651</v>
          </cell>
          <cell r="C915" t="str">
            <v>6865-48S8CQ-SI-F交换机(48*25GE)</v>
          </cell>
          <cell r="D915">
            <v>98011450</v>
          </cell>
          <cell r="E915" t="str">
            <v>交换机</v>
          </cell>
          <cell r="F915">
            <v>5.0000000000000001E-3</v>
          </cell>
          <cell r="G915">
            <v>0</v>
          </cell>
        </row>
        <row r="916">
          <cell r="B916" t="str">
            <v>302-002129</v>
          </cell>
          <cell r="C916" t="str">
            <v>S电源线欧标-C14直公-C13直母-250V10A-3M黑-交流</v>
          </cell>
          <cell r="D916" t="str">
            <v>C2460006</v>
          </cell>
          <cell r="E916" t="str">
            <v>电源线</v>
          </cell>
          <cell r="F916">
            <v>2E-3</v>
          </cell>
          <cell r="G916">
            <v>10</v>
          </cell>
        </row>
        <row r="917">
          <cell r="B917" t="str">
            <v>302-000417</v>
          </cell>
          <cell r="C917" t="str">
            <v>电源模块-1200W直流_(含直流_电源线)</v>
          </cell>
          <cell r="D917" t="str">
            <v>02313FMD</v>
          </cell>
          <cell r="E917" t="str">
            <v>电源</v>
          </cell>
          <cell r="F917">
            <v>5.0000000000000001E-3</v>
          </cell>
          <cell r="G917">
            <v>52</v>
          </cell>
          <cell r="I917" t="str">
            <v>99-000417</v>
          </cell>
        </row>
        <row r="918">
          <cell r="B918" t="str">
            <v>302-003125</v>
          </cell>
          <cell r="C918" t="str">
            <v>电源电缆-0.62m-黑-80A弯头快插连接器-裸铜导体</v>
          </cell>
          <cell r="D918" t="str">
            <v>04154103-001</v>
          </cell>
          <cell r="E918" t="str">
            <v>线缆</v>
          </cell>
          <cell r="F918">
            <v>2E-3</v>
          </cell>
          <cell r="G918">
            <v>2631</v>
          </cell>
          <cell r="I918" t="str">
            <v>99-003125</v>
          </cell>
        </row>
        <row r="919">
          <cell r="B919" t="str">
            <v>302-002448</v>
          </cell>
          <cell r="C919" t="str">
            <v>网卡MCX623106AN-CDAT-100G双口-QSFP56</v>
          </cell>
          <cell r="D919" t="str">
            <v>MCX623106AN-CDAT</v>
          </cell>
          <cell r="E919" t="str">
            <v>网卡</v>
          </cell>
          <cell r="F919">
            <v>5.7999999999999996E-3</v>
          </cell>
          <cell r="G919">
            <v>286</v>
          </cell>
          <cell r="I919" t="str">
            <v>99-003021</v>
          </cell>
        </row>
        <row r="920">
          <cell r="B920" t="str">
            <v>302-002102</v>
          </cell>
          <cell r="C920" t="str">
            <v>S硬盘18T-3.5SATA-6G7.2K-512M-DZ-V1.0</v>
          </cell>
          <cell r="D920" t="str">
            <v>MG09ACA18TE</v>
          </cell>
          <cell r="E920" t="str">
            <v>硬盘</v>
          </cell>
          <cell r="F920">
            <v>5.4999999999999997E-3</v>
          </cell>
          <cell r="G920">
            <v>1412</v>
          </cell>
          <cell r="I920" t="str">
            <v>99-002102</v>
          </cell>
        </row>
        <row r="921">
          <cell r="B921" t="str">
            <v>302-002546</v>
          </cell>
          <cell r="C921" t="str">
            <v>NVMeSSD J5100-1.92T-U.2 PCIe4-2.5 读取 DPW</v>
          </cell>
          <cell r="D921" t="str">
            <v>DPJD3102T0T901T900</v>
          </cell>
          <cell r="E921" t="str">
            <v>硬盘</v>
          </cell>
          <cell r="F921">
            <v>5.4999999999999997E-3</v>
          </cell>
          <cell r="G921">
            <v>0</v>
          </cell>
        </row>
        <row r="922">
          <cell r="B922" t="str">
            <v>302-003184</v>
          </cell>
          <cell r="C922" t="str">
            <v>S主板S920X10-2*7260（64C@2.6G）-AL</v>
          </cell>
          <cell r="D922" t="str">
            <v>03035FRX</v>
          </cell>
          <cell r="E922" t="str">
            <v>主板</v>
          </cell>
          <cell r="F922">
            <v>8.5000000000000006E-3</v>
          </cell>
          <cell r="G922">
            <v>743</v>
          </cell>
          <cell r="I922" t="str">
            <v>99-001893</v>
          </cell>
        </row>
        <row r="923">
          <cell r="B923" t="str">
            <v>304-000217</v>
          </cell>
          <cell r="C923" t="str">
            <v>A924 典配4U-910 Pro B*8,8*32G,2*480G-STYJ</v>
          </cell>
          <cell r="D923" t="str">
            <v>02314GAE</v>
          </cell>
          <cell r="E923" t="str">
            <v>L6典配</v>
          </cell>
          <cell r="F923">
            <v>2.8999999999999998E-3</v>
          </cell>
          <cell r="G923">
            <v>0</v>
          </cell>
        </row>
        <row r="924">
          <cell r="B924" t="str">
            <v>302-002548</v>
          </cell>
          <cell r="C924" t="str">
            <v>NVMeSSD J5100-7.68T-U.2 PCIe4-2.5 读取 DPW</v>
          </cell>
          <cell r="D924" t="str">
            <v>DPJD3108T0T807T6000</v>
          </cell>
          <cell r="E924" t="str">
            <v>硬盘</v>
          </cell>
          <cell r="F924">
            <v>5.4999999999999997E-3</v>
          </cell>
          <cell r="G924">
            <v>386</v>
          </cell>
          <cell r="I924" t="str">
            <v>99-001916</v>
          </cell>
        </row>
        <row r="925">
          <cell r="B925" t="str">
            <v>302-001764</v>
          </cell>
          <cell r="C925" t="str">
            <v>RAID扣卡 SR450C(Avago3508)-2GB Cache</v>
          </cell>
          <cell r="D925" t="str">
            <v>03024JMY</v>
          </cell>
          <cell r="E925" t="str">
            <v>RAID卡</v>
          </cell>
          <cell r="F925">
            <v>7.7999999999999996E-3</v>
          </cell>
          <cell r="G925">
            <v>6</v>
          </cell>
          <cell r="I925" t="str">
            <v>99-000134</v>
          </cell>
        </row>
        <row r="926">
          <cell r="B926" t="str">
            <v>302-002421</v>
          </cell>
          <cell r="C926" t="str">
            <v>Atlas 200I A2模组-20T-12GB内存</v>
          </cell>
          <cell r="D926" t="str">
            <v>02314NGH</v>
          </cell>
          <cell r="E926" t="str">
            <v>Riser模组</v>
          </cell>
          <cell r="F926">
            <v>5.0000000000000001E-3</v>
          </cell>
          <cell r="G926">
            <v>8</v>
          </cell>
        </row>
        <row r="927">
          <cell r="B927" t="str">
            <v>302-001958</v>
          </cell>
          <cell r="C927" t="str">
            <v>S电源线PDU国标-C14直公-C13直母-250V10A-2.0m黑-交流</v>
          </cell>
          <cell r="D927" t="str">
            <v>0415G005</v>
          </cell>
          <cell r="E927" t="str">
            <v>电源线</v>
          </cell>
          <cell r="F927">
            <v>2E-3</v>
          </cell>
          <cell r="G927">
            <v>4</v>
          </cell>
        </row>
        <row r="928">
          <cell r="B928" t="str">
            <v>302-003238</v>
          </cell>
          <cell r="C928" t="str">
            <v>2U4P标准机箱 25*2.5英寸硬盘EXP K24R-02--SC2225A6</v>
          </cell>
          <cell r="D928" t="str">
            <v>02314RJQ</v>
          </cell>
          <cell r="E928" t="str">
            <v>机箱/硬盘背板</v>
          </cell>
          <cell r="F928">
            <v>2.8999999999999998E-3</v>
          </cell>
          <cell r="G928">
            <v>141</v>
          </cell>
          <cell r="I928" t="str">
            <v>88-000289</v>
          </cell>
        </row>
        <row r="929">
          <cell r="B929" t="str">
            <v>302-002764</v>
          </cell>
          <cell r="C929" t="str">
            <v>制成板-PCIE提升卡2_2-3*16X SLOT(1*X16+2*X8）</v>
          </cell>
          <cell r="D929" t="str">
            <v>03026YVF</v>
          </cell>
          <cell r="E929" t="str">
            <v>Riser模组</v>
          </cell>
          <cell r="F929">
            <v>5.0000000000000001E-3</v>
          </cell>
          <cell r="G929">
            <v>458</v>
          </cell>
          <cell r="I929" t="str">
            <v>99-000446</v>
          </cell>
        </row>
        <row r="930">
          <cell r="B930" t="str">
            <v>302-002767</v>
          </cell>
          <cell r="C930" t="str">
            <v>PCIE提升卡1_1-3*16X SLOT(1*X16+2*X8)</v>
          </cell>
          <cell r="D930" t="str">
            <v>03026YVG</v>
          </cell>
          <cell r="E930" t="str">
            <v>Riser模组</v>
          </cell>
          <cell r="F930">
            <v>5.0000000000000001E-3</v>
          </cell>
          <cell r="G930">
            <v>976</v>
          </cell>
          <cell r="I930" t="str">
            <v>99-000447</v>
          </cell>
        </row>
        <row r="931">
          <cell r="B931" t="str">
            <v>302-002768</v>
          </cell>
          <cell r="C931" t="str">
            <v>高速电缆-内部PCIe高速线缆-0.55m</v>
          </cell>
          <cell r="D931" t="str">
            <v>04052477-006</v>
          </cell>
          <cell r="E931" t="str">
            <v>线缆</v>
          </cell>
          <cell r="F931">
            <v>2E-3</v>
          </cell>
          <cell r="G931">
            <v>1016</v>
          </cell>
        </row>
        <row r="932">
          <cell r="B932" t="str">
            <v>302-002605</v>
          </cell>
          <cell r="C932" t="str">
            <v>高速PCIe线缆-0.44/0.6/0.3/0.35m-A924四合一线缆</v>
          </cell>
          <cell r="D932" t="str">
            <v>4052481</v>
          </cell>
          <cell r="E932" t="str">
            <v>线缆</v>
          </cell>
          <cell r="F932">
            <v>2E-3</v>
          </cell>
          <cell r="G932">
            <v>1</v>
          </cell>
        </row>
        <row r="933">
          <cell r="B933" t="str">
            <v>302-002626</v>
          </cell>
          <cell r="C933" t="str">
            <v>风扇7V15V-80*80*80mm-25mm-8Pin 86W 180CFM</v>
          </cell>
          <cell r="D933" t="str">
            <v>02312VNP</v>
          </cell>
          <cell r="E933" t="str">
            <v>风扇</v>
          </cell>
          <cell r="F933">
            <v>2.8999999999999998E-3</v>
          </cell>
          <cell r="G933">
            <v>1</v>
          </cell>
        </row>
        <row r="934">
          <cell r="B934" t="str">
            <v>302-002603</v>
          </cell>
          <cell r="C934" t="str">
            <v>高速PCIe线缆-0.5/0.7/0.84/0.95m-A924四合一线缆</v>
          </cell>
          <cell r="D934" t="str">
            <v>4052480</v>
          </cell>
          <cell r="E934" t="str">
            <v>线缆</v>
          </cell>
          <cell r="F934">
            <v>2E-3</v>
          </cell>
          <cell r="G934">
            <v>1</v>
          </cell>
        </row>
        <row r="935">
          <cell r="B935" t="str">
            <v>302-002625</v>
          </cell>
          <cell r="C935" t="str">
            <v>功能模块-Atlas-IT21BP4A01-电源框模块</v>
          </cell>
          <cell r="D935" t="str">
            <v>02312VJN</v>
          </cell>
          <cell r="E935" t="str">
            <v>电源</v>
          </cell>
          <cell r="F935">
            <v>5.0000000000000001E-3</v>
          </cell>
          <cell r="G935">
            <v>1</v>
          </cell>
        </row>
        <row r="936">
          <cell r="B936" t="str">
            <v>302-002609</v>
          </cell>
          <cell r="C936" t="str">
            <v>制成板IT21BP8A-八80风扇+SSD背板A-0XC1-2*1</v>
          </cell>
          <cell r="D936" t="str">
            <v>03027AHF</v>
          </cell>
          <cell r="E936" t="str">
            <v>机箱/硬盘背板</v>
          </cell>
          <cell r="F936">
            <v>2.8999999999999998E-3</v>
          </cell>
          <cell r="G936">
            <v>1</v>
          </cell>
          <cell r="I936" t="str">
            <v>88-002609</v>
          </cell>
        </row>
        <row r="937">
          <cell r="B937" t="str">
            <v>302-002599</v>
          </cell>
          <cell r="C937" t="str">
            <v>监控和告警电缆-信号电缆-0.23m（带卡扣无拉带）A924内部线缆</v>
          </cell>
          <cell r="D937" t="str">
            <v>04080651-006</v>
          </cell>
          <cell r="E937" t="str">
            <v>线缆</v>
          </cell>
          <cell r="F937">
            <v>2E-3</v>
          </cell>
          <cell r="G937">
            <v>1</v>
          </cell>
        </row>
        <row r="938">
          <cell r="B938" t="str">
            <v>302-002683</v>
          </cell>
          <cell r="C938" t="str">
            <v>A924-Hi1620 4P服务器风冷主板A</v>
          </cell>
          <cell r="D938" t="str">
            <v>02312YMA</v>
          </cell>
          <cell r="E938" t="str">
            <v>主板</v>
          </cell>
          <cell r="F938">
            <v>8.5000000000000006E-3</v>
          </cell>
          <cell r="G938">
            <v>1</v>
          </cell>
        </row>
        <row r="939">
          <cell r="B939" t="str">
            <v>302-002601</v>
          </cell>
          <cell r="C939" t="str">
            <v>电源电缆-0.5/0.5/0.5m-A924内部信号线缆</v>
          </cell>
          <cell r="D939" t="str">
            <v>04153040</v>
          </cell>
          <cell r="E939" t="str">
            <v>线缆</v>
          </cell>
          <cell r="F939">
            <v>2E-3</v>
          </cell>
          <cell r="G939">
            <v>1</v>
          </cell>
        </row>
        <row r="940">
          <cell r="B940" t="str">
            <v>302-002617</v>
          </cell>
          <cell r="C940" t="str">
            <v>Ascend910B AI风冷业务板C01-IT21SD4C01</v>
          </cell>
          <cell r="D940" t="str">
            <v>02313DHV</v>
          </cell>
          <cell r="E940" t="str">
            <v>主板</v>
          </cell>
          <cell r="F940">
            <v>8.5000000000000006E-3</v>
          </cell>
          <cell r="G940">
            <v>1</v>
          </cell>
        </row>
        <row r="941">
          <cell r="B941" t="str">
            <v>302-002633</v>
          </cell>
          <cell r="C941" t="str">
            <v>高速PCIe线缆-0.91/0.93/0.52/0.49m-A924四合一线缆</v>
          </cell>
          <cell r="D941">
            <v>4052483</v>
          </cell>
          <cell r="E941" t="str">
            <v>线缆</v>
          </cell>
          <cell r="F941">
            <v>2E-3</v>
          </cell>
          <cell r="G941">
            <v>1</v>
          </cell>
        </row>
        <row r="942">
          <cell r="B942" t="str">
            <v>302-002602</v>
          </cell>
          <cell r="C942" t="str">
            <v>高速PCIe线缆-0.31/0.28/0.76/0.78m-A924四合一线缆</v>
          </cell>
          <cell r="D942">
            <v>4052482</v>
          </cell>
          <cell r="E942" t="str">
            <v>线缆</v>
          </cell>
          <cell r="F942">
            <v>2E-3</v>
          </cell>
          <cell r="G942">
            <v>1</v>
          </cell>
        </row>
        <row r="943">
          <cell r="B943" t="str">
            <v>302-002632</v>
          </cell>
          <cell r="C943" t="str">
            <v>高速PCIe线缆-1/0.65/0.65/0.75m-A924四合一线缆</v>
          </cell>
          <cell r="D943">
            <v>4052725</v>
          </cell>
          <cell r="E943" t="str">
            <v>线缆</v>
          </cell>
          <cell r="F943">
            <v>2E-3</v>
          </cell>
          <cell r="G943">
            <v>87</v>
          </cell>
          <cell r="I943" t="str">
            <v>99-002632</v>
          </cell>
        </row>
        <row r="944">
          <cell r="B944" t="str">
            <v>302-002698</v>
          </cell>
          <cell r="C944" t="str">
            <v>SSD S4620-1.92T-SATA-2.5 读写 Intel</v>
          </cell>
          <cell r="D944" t="str">
            <v>SSDSC2KG019TZ</v>
          </cell>
          <cell r="E944" t="str">
            <v>硬盘</v>
          </cell>
          <cell r="F944">
            <v>5.4999999999999997E-3</v>
          </cell>
          <cell r="G944">
            <v>513</v>
          </cell>
        </row>
        <row r="945">
          <cell r="B945" t="str">
            <v>302-003169</v>
          </cell>
          <cell r="C945" t="str">
            <v>主板S920X00-2*5250（48C@2.6）-海外</v>
          </cell>
          <cell r="D945" t="str">
            <v>03050MTN</v>
          </cell>
          <cell r="E945" t="str">
            <v>主板</v>
          </cell>
          <cell r="F945">
            <v>8.5000000000000006E-3</v>
          </cell>
          <cell r="G945">
            <v>42</v>
          </cell>
          <cell r="I945" t="str">
            <v>99-000711</v>
          </cell>
        </row>
        <row r="946">
          <cell r="B946" t="str">
            <v>302-003167</v>
          </cell>
          <cell r="C946" t="str">
            <v>内存DDR4-32G-3200-1Rank(2G*8bit)-海外</v>
          </cell>
          <cell r="D946" t="str">
            <v>2510112/02510089</v>
          </cell>
          <cell r="E946" t="str">
            <v>内存</v>
          </cell>
          <cell r="F946">
            <v>2E-3</v>
          </cell>
          <cell r="G946">
            <v>264</v>
          </cell>
          <cell r="I946" t="str">
            <v>99-003167</v>
          </cell>
        </row>
        <row r="947">
          <cell r="B947" t="str">
            <v>302-003128</v>
          </cell>
          <cell r="C947" t="str">
            <v>AI卡-Atlas 300V Pro PCIe4.0x16</v>
          </cell>
          <cell r="D947" t="str">
            <v>02314MYR</v>
          </cell>
          <cell r="E947" t="str">
            <v>AI推理卡</v>
          </cell>
          <cell r="F947">
            <v>6.3E-3</v>
          </cell>
          <cell r="G947">
            <v>3037</v>
          </cell>
          <cell r="I947" t="str">
            <v>99-002442</v>
          </cell>
        </row>
        <row r="948">
          <cell r="B948" t="str">
            <v>302-001914</v>
          </cell>
          <cell r="C948" t="str">
            <v>NVMeSSD-R5101-1.92T-U.2-PCIe4-2.5-读取 DPW</v>
          </cell>
          <cell r="D948" t="str">
            <v>RD3102T0T601T9000</v>
          </cell>
          <cell r="E948" t="str">
            <v>硬盘</v>
          </cell>
          <cell r="F948">
            <v>5.4999999999999997E-3</v>
          </cell>
          <cell r="G948">
            <v>2</v>
          </cell>
        </row>
        <row r="949">
          <cell r="B949" t="str">
            <v>302-003176</v>
          </cell>
          <cell r="C949" t="str">
            <v>内存-DDR4-64GB-RD-3200-GCH</v>
          </cell>
          <cell r="D949">
            <v>2510110</v>
          </cell>
          <cell r="E949" t="str">
            <v>内存</v>
          </cell>
          <cell r="F949">
            <v>2E-3</v>
          </cell>
          <cell r="G949">
            <v>0</v>
          </cell>
          <cell r="I949" t="str">
            <v>99-003375</v>
          </cell>
        </row>
        <row r="950">
          <cell r="B950" t="str">
            <v>302-002717</v>
          </cell>
          <cell r="C950" t="str">
            <v>RAID卡超级电容-（PM8204）</v>
          </cell>
          <cell r="D950" t="str">
            <v>02314HKU</v>
          </cell>
          <cell r="E950" t="str">
            <v>超级电容</v>
          </cell>
          <cell r="F950">
            <v>3.2000000000000002E-3</v>
          </cell>
          <cell r="G950">
            <v>13</v>
          </cell>
          <cell r="I950" t="str">
            <v>99-001655</v>
          </cell>
        </row>
        <row r="951">
          <cell r="B951" t="str">
            <v>302-002549</v>
          </cell>
          <cell r="C951" t="str">
            <v>NVMeSSD J5300-1.6T-U.2 PCIe4-2.5 读写 DPW</v>
          </cell>
          <cell r="D951" t="str">
            <v>DPJD3102T0T901T6000</v>
          </cell>
          <cell r="E951" t="str">
            <v>硬盘</v>
          </cell>
          <cell r="F951">
            <v>5.4999999999999997E-3</v>
          </cell>
          <cell r="G951">
            <v>248</v>
          </cell>
          <cell r="I951" t="str">
            <v>99-001913</v>
          </cell>
        </row>
        <row r="952">
          <cell r="B952" t="str">
            <v>302-002786</v>
          </cell>
          <cell r="C952" t="str">
            <v>SSD UH611a-7.68TB-SAS3.0-2.5读取 YL</v>
          </cell>
          <cell r="D952" t="str">
            <v>RA2027T6RK003LX</v>
          </cell>
          <cell r="E952" t="str">
            <v>硬盘</v>
          </cell>
          <cell r="F952">
            <v>5.4999999999999997E-3</v>
          </cell>
          <cell r="G952">
            <v>96</v>
          </cell>
        </row>
        <row r="953">
          <cell r="B953" t="str">
            <v>302-003177</v>
          </cell>
          <cell r="C953" t="str">
            <v>RAID标卡-PM8204-PCIE3x8-2G-HW</v>
          </cell>
          <cell r="D953" t="str">
            <v>06030623</v>
          </cell>
          <cell r="E953" t="str">
            <v>RAID卡</v>
          </cell>
          <cell r="F953">
            <v>7.7999999999999996E-3</v>
          </cell>
          <cell r="G953">
            <v>11</v>
          </cell>
          <cell r="I953" t="str">
            <v>99-001066</v>
          </cell>
        </row>
        <row r="954">
          <cell r="B954" t="str">
            <v>302-003200</v>
          </cell>
          <cell r="C954" t="str">
            <v>天池扩展板</v>
          </cell>
          <cell r="D954" t="str">
            <v>0302023922</v>
          </cell>
          <cell r="E954" t="str">
            <v>机箱/硬盘背板</v>
          </cell>
          <cell r="F954">
            <v>2.8999999999999998E-3</v>
          </cell>
          <cell r="G954">
            <v>2497</v>
          </cell>
          <cell r="I954" t="str">
            <v>88-003200</v>
          </cell>
        </row>
        <row r="955">
          <cell r="B955" t="str">
            <v>302-002347</v>
          </cell>
          <cell r="C955" t="str">
            <v>机箱 12*3.5硬盘EXP 2U2P,K22R-02-LJ</v>
          </cell>
          <cell r="D955" t="str">
            <v>02312WWV</v>
          </cell>
          <cell r="E955" t="str">
            <v>机箱/硬盘背板</v>
          </cell>
          <cell r="F955">
            <v>2.8999999999999998E-3</v>
          </cell>
          <cell r="G955">
            <v>10</v>
          </cell>
          <cell r="I955" t="str">
            <v>88-000288</v>
          </cell>
        </row>
        <row r="956">
          <cell r="B956" t="str">
            <v>302-002349</v>
          </cell>
          <cell r="C956" t="str">
            <v>机箱 12*3.5硬盘EXP 2U2P,K22R-02 1620S-LJ</v>
          </cell>
          <cell r="D956" t="str">
            <v>02312YTC</v>
          </cell>
          <cell r="E956" t="str">
            <v>机箱/硬盘背板</v>
          </cell>
          <cell r="F956">
            <v>2.8999999999999998E-3</v>
          </cell>
          <cell r="G956">
            <v>9</v>
          </cell>
          <cell r="I956" t="str">
            <v>88-000288</v>
          </cell>
        </row>
        <row r="957">
          <cell r="B957" t="str">
            <v>302-002357</v>
          </cell>
          <cell r="C957" t="str">
            <v>Riser1&amp;2模组 3*16X(X8)-LJ</v>
          </cell>
          <cell r="D957" t="str">
            <v>02312VXU</v>
          </cell>
          <cell r="E957" t="str">
            <v>Riser模组</v>
          </cell>
          <cell r="F957">
            <v>5.0000000000000001E-3</v>
          </cell>
          <cell r="G957">
            <v>25</v>
          </cell>
          <cell r="I957" t="str">
            <v>99-000147</v>
          </cell>
        </row>
        <row r="958">
          <cell r="B958" t="str">
            <v>302-001758</v>
          </cell>
          <cell r="C958" t="str">
            <v>服务器12*3.5英寸硬盘EXP机箱-A722</v>
          </cell>
          <cell r="D958" t="str">
            <v>02313NMS</v>
          </cell>
          <cell r="E958" t="str">
            <v>机箱/硬盘背板</v>
          </cell>
          <cell r="F958">
            <v>2.8999999999999998E-3</v>
          </cell>
          <cell r="G958">
            <v>712</v>
          </cell>
          <cell r="I958" t="str">
            <v>88-000288</v>
          </cell>
        </row>
        <row r="959">
          <cell r="B959" t="str">
            <v>302-001975</v>
          </cell>
          <cell r="C959" t="str">
            <v>AI卡Atlas300V Pro x16(HHHL)LPDDR4x*48G-YJ</v>
          </cell>
          <cell r="D959" t="str">
            <v>02314HCY</v>
          </cell>
          <cell r="E959" t="str">
            <v>AI推理卡</v>
          </cell>
          <cell r="F959">
            <v>6.3E-3</v>
          </cell>
          <cell r="G959">
            <v>22</v>
          </cell>
          <cell r="I959" t="str">
            <v>99-002442</v>
          </cell>
        </row>
        <row r="960">
          <cell r="B960" t="str">
            <v>302-002024</v>
          </cell>
          <cell r="C960" t="str">
            <v>Atlas300V Pro视频x16-48G-72W-SWHHHL半高+全高挡片</v>
          </cell>
          <cell r="D960" t="str">
            <v>02314BCJ</v>
          </cell>
          <cell r="E960" t="str">
            <v>AI推理卡</v>
          </cell>
          <cell r="F960">
            <v>6.3E-3</v>
          </cell>
          <cell r="G960">
            <v>12</v>
          </cell>
          <cell r="I960" t="str">
            <v>99-002442</v>
          </cell>
        </row>
        <row r="961">
          <cell r="B961" t="str">
            <v>302-002346</v>
          </cell>
          <cell r="C961" t="str">
            <v>S主板S920X00-2*5250(48C@2.6)-LJ-1710</v>
          </cell>
          <cell r="D961" t="str">
            <v>03027WNC</v>
          </cell>
          <cell r="E961" t="str">
            <v>主板</v>
          </cell>
          <cell r="F961">
            <v>8.5000000000000006E-3</v>
          </cell>
          <cell r="G961">
            <v>2</v>
          </cell>
          <cell r="I961" t="str">
            <v>99-000711</v>
          </cell>
        </row>
        <row r="962">
          <cell r="B962" t="str">
            <v>302-002356</v>
          </cell>
          <cell r="C962" t="str">
            <v>4*GE 接口卡-LJ</v>
          </cell>
          <cell r="D962" t="str">
            <v>03025VYQ</v>
          </cell>
          <cell r="E962" t="str">
            <v>接口卡</v>
          </cell>
          <cell r="F962">
            <v>7.7999999999999996E-3</v>
          </cell>
          <cell r="G962">
            <v>40</v>
          </cell>
          <cell r="I962" t="str">
            <v>99-000142</v>
          </cell>
        </row>
        <row r="963">
          <cell r="B963" t="str">
            <v>302-002363</v>
          </cell>
          <cell r="C963" t="str">
            <v>RAID扣卡 SR450C 2GB(Avago3508)-LJ</v>
          </cell>
          <cell r="D963" t="str">
            <v>02312YJE</v>
          </cell>
          <cell r="E963" t="str">
            <v>RAID卡</v>
          </cell>
          <cell r="F963">
            <v>7.7999999999999996E-3</v>
          </cell>
          <cell r="G963">
            <v>1</v>
          </cell>
          <cell r="I963" t="str">
            <v>99-000134</v>
          </cell>
        </row>
        <row r="964">
          <cell r="B964" t="str">
            <v>302-002396</v>
          </cell>
          <cell r="C964" t="str">
            <v>S主板S920X00-2*7260(64C@2.6)BS-1711-VD-YJ</v>
          </cell>
          <cell r="D964" t="str">
            <v>03050LST</v>
          </cell>
          <cell r="E964" t="str">
            <v>主板</v>
          </cell>
          <cell r="F964">
            <v>8.5000000000000006E-3</v>
          </cell>
          <cell r="G964">
            <v>38</v>
          </cell>
          <cell r="I964" t="str">
            <v>99-000712</v>
          </cell>
        </row>
        <row r="965">
          <cell r="B965" t="str">
            <v>302-003326</v>
          </cell>
          <cell r="C965" t="str">
            <v>S主板S920S01-1*5220(32C@2.6)-JG-1711</v>
          </cell>
          <cell r="D965" t="str">
            <v>03050MXL</v>
          </cell>
          <cell r="E965" t="str">
            <v>主板</v>
          </cell>
          <cell r="F965">
            <v>8.5000000000000006E-3</v>
          </cell>
          <cell r="G965">
            <v>101</v>
          </cell>
        </row>
        <row r="966">
          <cell r="B966" t="str">
            <v>302-003282</v>
          </cell>
          <cell r="C966" t="str">
            <v>背板-4 SAS+8 NVMe直通硬盘背板-天池</v>
          </cell>
          <cell r="D966" t="str">
            <v>0302023932</v>
          </cell>
          <cell r="E966" t="str">
            <v>机箱/硬盘背板</v>
          </cell>
          <cell r="F966">
            <v>2.8999999999999998E-3</v>
          </cell>
          <cell r="G966">
            <v>0</v>
          </cell>
          <cell r="I966" t="str">
            <v>88-002692</v>
          </cell>
        </row>
        <row r="967">
          <cell r="B967" t="str">
            <v>302-002689</v>
          </cell>
          <cell r="C967" t="str">
            <v>天池12*3.5英寸EXP硬盘背板-BC83HBBH</v>
          </cell>
          <cell r="D967" t="str">
            <v>06411247</v>
          </cell>
          <cell r="E967" t="str">
            <v>机箱/硬盘背板</v>
          </cell>
          <cell r="F967">
            <v>2.8999999999999998E-3</v>
          </cell>
          <cell r="G967">
            <v>257</v>
          </cell>
          <cell r="I967" t="str">
            <v>88-002689</v>
          </cell>
        </row>
        <row r="968">
          <cell r="B968" t="str">
            <v>302-003159</v>
          </cell>
          <cell r="C968" t="str">
            <v>网卡MCX512A-ACUT-2*25G-SFP28-PCIe3.0x8-无模块</v>
          </cell>
          <cell r="D968">
            <v>99109418</v>
          </cell>
          <cell r="E968" t="str">
            <v>网卡</v>
          </cell>
          <cell r="F968">
            <v>5.7999999999999996E-3</v>
          </cell>
          <cell r="G968">
            <v>6590</v>
          </cell>
          <cell r="I968" t="str">
            <v>99-000786</v>
          </cell>
        </row>
        <row r="969">
          <cell r="B969" t="str">
            <v>302-002909</v>
          </cell>
          <cell r="C969" t="str">
            <v>SSD ES3521A V6-960G-SATA 6Gb-2.5读取 V1.2</v>
          </cell>
          <cell r="D969" t="str">
            <v>02550266</v>
          </cell>
          <cell r="E969" t="str">
            <v>硬盘</v>
          </cell>
          <cell r="F969">
            <v>5.4999999999999997E-3</v>
          </cell>
          <cell r="G969">
            <v>2</v>
          </cell>
          <cell r="I969" t="str">
            <v>99-001349</v>
          </cell>
        </row>
        <row r="970">
          <cell r="B970" t="str">
            <v>302-001915</v>
          </cell>
          <cell r="C970" t="str">
            <v>NVMeSSD-R5301-3.2T-U.2-PCIe4-2.5-读写 DPW</v>
          </cell>
          <cell r="D970" t="str">
            <v>DPRD3104T0T603T2000</v>
          </cell>
          <cell r="E970" t="str">
            <v>硬盘</v>
          </cell>
          <cell r="F970">
            <v>5.4999999999999997E-3</v>
          </cell>
          <cell r="G970">
            <v>197</v>
          </cell>
          <cell r="I970" t="str">
            <v>99-001915</v>
          </cell>
        </row>
        <row r="971">
          <cell r="B971" t="str">
            <v>302-003131</v>
          </cell>
          <cell r="C971" t="str">
            <v>光模块-SFP+-10G-多模(850nm,0.3km,LC)-HX</v>
          </cell>
          <cell r="D971" t="str">
            <v>HXSX-AL1N2C</v>
          </cell>
          <cell r="E971" t="str">
            <v>光模块</v>
          </cell>
          <cell r="F971">
            <v>4.1999999999999997E-3</v>
          </cell>
          <cell r="G971">
            <v>10821</v>
          </cell>
          <cell r="I971" t="str">
            <v>99-000381</v>
          </cell>
        </row>
        <row r="972">
          <cell r="B972" t="str">
            <v>302-002975</v>
          </cell>
          <cell r="C972" t="str">
            <v>S内存DDR4-32G-3200-2Rx4-RD</v>
          </cell>
          <cell r="D972">
            <v>2510049</v>
          </cell>
          <cell r="E972" t="str">
            <v>内存</v>
          </cell>
          <cell r="F972">
            <v>2E-3</v>
          </cell>
          <cell r="G972">
            <v>80</v>
          </cell>
        </row>
        <row r="973">
          <cell r="B973" t="str">
            <v>302-002695</v>
          </cell>
          <cell r="C973" t="str">
            <v>SSD S4520-7.68T-SATA-2.5 读取 Intel</v>
          </cell>
          <cell r="D973" t="str">
            <v>SSDSC2KB076TZ</v>
          </cell>
          <cell r="E973" t="str">
            <v>硬盘</v>
          </cell>
          <cell r="F973">
            <v>5.4999999999999997E-3</v>
          </cell>
          <cell r="G973">
            <v>414</v>
          </cell>
          <cell r="I973" t="str">
            <v>99-002084</v>
          </cell>
        </row>
        <row r="974">
          <cell r="B974" t="str">
            <v>302-002259</v>
          </cell>
          <cell r="C974" t="str">
            <v>900W 交流电源-LJ</v>
          </cell>
          <cell r="D974" t="str">
            <v>02311TLF</v>
          </cell>
          <cell r="E974" t="str">
            <v>电源</v>
          </cell>
          <cell r="F974">
            <v>5.0000000000000001E-3</v>
          </cell>
          <cell r="G974">
            <v>3</v>
          </cell>
          <cell r="I974" t="str">
            <v>99-000448</v>
          </cell>
        </row>
        <row r="975">
          <cell r="B975" t="str">
            <v>302-003285</v>
          </cell>
          <cell r="C975" t="str">
            <v>主板-Atlas 500 Pro-1*920 24C@2.6G-4*GE</v>
          </cell>
          <cell r="D975" t="str">
            <v>03050JGA</v>
          </cell>
          <cell r="E975" t="str">
            <v>主板</v>
          </cell>
          <cell r="F975">
            <v>8.5000000000000006E-3</v>
          </cell>
          <cell r="G975">
            <v>19</v>
          </cell>
          <cell r="I975" t="str">
            <v>99-001291</v>
          </cell>
        </row>
        <row r="976">
          <cell r="B976" t="str">
            <v>302-002595</v>
          </cell>
          <cell r="C976" t="str">
            <v>S硬盘600G-2.5 SAS-12G10K-128M-HW-V1.0</v>
          </cell>
          <cell r="D976">
            <v>2540171</v>
          </cell>
          <cell r="E976" t="str">
            <v>硬盘</v>
          </cell>
          <cell r="F976">
            <v>5.4999999999999997E-3</v>
          </cell>
          <cell r="G976">
            <v>30</v>
          </cell>
          <cell r="I976" t="str">
            <v>99-001041</v>
          </cell>
        </row>
        <row r="977">
          <cell r="B977" t="str">
            <v>302-003213</v>
          </cell>
          <cell r="C977" t="str">
            <v>光模块-QSFP28-850nm-100G-NDD</v>
          </cell>
          <cell r="D977" t="str">
            <v>QSFP28-100G-SR4</v>
          </cell>
          <cell r="E977" t="str">
            <v>光模块</v>
          </cell>
          <cell r="F977">
            <v>4.1999999999999997E-3</v>
          </cell>
          <cell r="G977">
            <v>374</v>
          </cell>
          <cell r="I977" t="str">
            <v>99-003338</v>
          </cell>
        </row>
        <row r="978">
          <cell r="B978" t="str">
            <v>302-003284</v>
          </cell>
          <cell r="C978" t="str">
            <v>8*3.5直通机箱-A222</v>
          </cell>
          <cell r="D978" t="str">
            <v>02301750</v>
          </cell>
          <cell r="E978" t="str">
            <v>机箱/硬盘背板</v>
          </cell>
          <cell r="F978">
            <v>2.8999999999999998E-3</v>
          </cell>
          <cell r="G978">
            <v>1</v>
          </cell>
          <cell r="I978" t="str">
            <v>88-000296</v>
          </cell>
        </row>
        <row r="979">
          <cell r="B979" t="str">
            <v>302-001136</v>
          </cell>
          <cell r="C979" t="str">
            <v>S主板S920X02-7265 4*920,3.0GHz 64C 1711</v>
          </cell>
          <cell r="D979" t="str">
            <v>03050EJX</v>
          </cell>
          <cell r="E979" t="str">
            <v>主板</v>
          </cell>
          <cell r="F979">
            <v>8.5000000000000006E-3</v>
          </cell>
          <cell r="G979">
            <v>3</v>
          </cell>
        </row>
        <row r="980">
          <cell r="B980" t="str">
            <v>302-003171</v>
          </cell>
          <cell r="C980" t="str">
            <v>光模块-SFP28-25G-多模(850nm,0.3km,LC)-TRC</v>
          </cell>
          <cell r="D980" t="str">
            <v>TPS-X5M1-85DCR</v>
          </cell>
          <cell r="E980" t="str">
            <v>光模块</v>
          </cell>
          <cell r="F980">
            <v>4.1999999999999997E-3</v>
          </cell>
          <cell r="G980">
            <v>13591</v>
          </cell>
          <cell r="I980" t="str">
            <v>99-000380</v>
          </cell>
        </row>
        <row r="981">
          <cell r="B981" t="str">
            <v>302-003222</v>
          </cell>
          <cell r="C981" t="str">
            <v>功能模块-Atlas200I SoC A1-IT21MPDA11电源管理芯片</v>
          </cell>
          <cell r="D981" t="str">
            <v>02314UYJ</v>
          </cell>
          <cell r="E981" t="str">
            <v>AI推理卡</v>
          </cell>
          <cell r="F981">
            <v>6.3E-3</v>
          </cell>
          <cell r="G981">
            <v>33064</v>
          </cell>
        </row>
        <row r="982">
          <cell r="B982" t="str">
            <v>302-003223</v>
          </cell>
          <cell r="C982" t="str">
            <v>310P普温芯片/02314UYG-功能模块Atlas 200I SoC A1-IT21MPDA10</v>
          </cell>
          <cell r="D982" t="str">
            <v>02314UYG</v>
          </cell>
          <cell r="E982" t="str">
            <v>其他部件</v>
          </cell>
          <cell r="F982">
            <v>3.0999999999999999E-3</v>
          </cell>
          <cell r="G982">
            <v>26926</v>
          </cell>
        </row>
        <row r="983">
          <cell r="B983" t="str">
            <v>302-002157</v>
          </cell>
          <cell r="C983" t="str">
            <v>SSD ES3521AV6-480G-SATA-6G-2.5读取HW V1.2</v>
          </cell>
          <cell r="D983" t="str">
            <v>02550540</v>
          </cell>
          <cell r="E983" t="str">
            <v>硬盘</v>
          </cell>
          <cell r="F983">
            <v>5.4999999999999997E-3</v>
          </cell>
          <cell r="G983">
            <v>0</v>
          </cell>
          <cell r="I983" t="str">
            <v>99-001346</v>
          </cell>
        </row>
        <row r="984">
          <cell r="B984" t="str">
            <v>302-003228</v>
          </cell>
          <cell r="C984" t="str">
            <v>S主板 S920X10K-2*7261K (64C@2.6) -AD</v>
          </cell>
          <cell r="D984" t="str">
            <v>03050JMQ</v>
          </cell>
          <cell r="E984" t="str">
            <v>主板</v>
          </cell>
          <cell r="F984">
            <v>8.5000000000000006E-3</v>
          </cell>
          <cell r="G984">
            <v>16</v>
          </cell>
        </row>
        <row r="985">
          <cell r="B985" t="str">
            <v>302-003348</v>
          </cell>
          <cell r="C985" t="str">
            <v>SSD UH631a-800GB-SAS3.0-2.5读写YL</v>
          </cell>
          <cell r="D985" t="str">
            <v>RA202800RK003VX</v>
          </cell>
          <cell r="E985" t="str">
            <v>硬盘</v>
          </cell>
          <cell r="F985">
            <v>5.4999999999999997E-3</v>
          </cell>
          <cell r="G985">
            <v>52</v>
          </cell>
        </row>
        <row r="986">
          <cell r="B986" t="str">
            <v>302-003351</v>
          </cell>
          <cell r="C986" t="str">
            <v>SSD UH631a-3.2T-SAS3.0-2.5读写YL</v>
          </cell>
          <cell r="D986" t="str">
            <v>RA2023T2RK003VX</v>
          </cell>
          <cell r="E986" t="str">
            <v>硬盘</v>
          </cell>
          <cell r="F986">
            <v>5.4999999999999997E-3</v>
          </cell>
          <cell r="G986">
            <v>4</v>
          </cell>
        </row>
        <row r="987">
          <cell r="B987" t="str">
            <v>302-000878</v>
          </cell>
          <cell r="C987" t="str">
            <v>2*2.5背板+1*16X槽(PCIE X8) Riser-A722</v>
          </cell>
          <cell r="D987" t="str">
            <v>02312RFK</v>
          </cell>
          <cell r="E987" t="str">
            <v>Riser模组</v>
          </cell>
          <cell r="F987">
            <v>5.0000000000000001E-3</v>
          </cell>
          <cell r="G987">
            <v>595</v>
          </cell>
          <cell r="I987" t="str">
            <v>99-000151</v>
          </cell>
        </row>
        <row r="988">
          <cell r="B988" t="str">
            <v>302-002893</v>
          </cell>
          <cell r="C988" t="str">
            <v>SSD DTS510S03-960GB-SATA 6Gb-2.5-读写 DT</v>
          </cell>
          <cell r="D988" t="str">
            <v>J960GSBLT3CCCDED80</v>
          </cell>
          <cell r="E988" t="str">
            <v>硬盘</v>
          </cell>
          <cell r="F988">
            <v>5.4999999999999997E-3</v>
          </cell>
          <cell r="G988">
            <v>959</v>
          </cell>
        </row>
        <row r="989">
          <cell r="B989" t="str">
            <v>302-002792</v>
          </cell>
          <cell r="C989" t="str">
            <v>SSD PM7-V 3.2T-SAS 3.0-2.5读写 KIOXIA</v>
          </cell>
          <cell r="D989" t="str">
            <v>KPM71VUG3T20</v>
          </cell>
          <cell r="E989" t="str">
            <v>硬盘</v>
          </cell>
          <cell r="F989">
            <v>5.4999999999999997E-3</v>
          </cell>
          <cell r="G989">
            <v>4</v>
          </cell>
        </row>
        <row r="990">
          <cell r="B990" t="str">
            <v>302-003229</v>
          </cell>
          <cell r="C990" t="str">
            <v>RAID扣卡 XR450C-MX 2G(Avago3508)</v>
          </cell>
          <cell r="D990" t="str">
            <v>Y2XR450C-MX2G</v>
          </cell>
          <cell r="E990" t="str">
            <v>RAID卡</v>
          </cell>
          <cell r="F990">
            <v>7.7999999999999996E-3</v>
          </cell>
          <cell r="G990">
            <v>547</v>
          </cell>
          <cell r="I990" t="str">
            <v>99-000134</v>
          </cell>
        </row>
        <row r="991">
          <cell r="B991" t="str">
            <v>302-003134</v>
          </cell>
          <cell r="C991" t="str">
            <v>RAID标卡 SP686C-16i-PCIe-4GB Cache-HW</v>
          </cell>
          <cell r="D991">
            <v>2560121</v>
          </cell>
          <cell r="E991" t="str">
            <v>RAID卡</v>
          </cell>
          <cell r="F991">
            <v>7.7999999999999996E-3</v>
          </cell>
          <cell r="G991">
            <v>13</v>
          </cell>
          <cell r="I991" t="str">
            <v>99-003134</v>
          </cell>
        </row>
        <row r="992">
          <cell r="B992" t="str">
            <v>302-003140</v>
          </cell>
          <cell r="C992" t="str">
            <v>RAID标卡 SP686C-16i-PCIe-4GB Cache-HW</v>
          </cell>
          <cell r="D992">
            <v>2560121</v>
          </cell>
          <cell r="E992" t="str">
            <v>RAID卡</v>
          </cell>
          <cell r="F992">
            <v>7.7999999999999996E-3</v>
          </cell>
          <cell r="G992">
            <v>1</v>
          </cell>
          <cell r="I992" t="str">
            <v>99-003134</v>
          </cell>
        </row>
        <row r="993">
          <cell r="B993" t="str">
            <v>302-002898</v>
          </cell>
          <cell r="C993" t="str">
            <v>CC RAID卡超级电容（SP686C）</v>
          </cell>
          <cell r="D993" t="str">
            <v>02314ABQ</v>
          </cell>
          <cell r="E993" t="str">
            <v>超级电容</v>
          </cell>
          <cell r="F993">
            <v>3.2000000000000002E-3</v>
          </cell>
          <cell r="G993">
            <v>670</v>
          </cell>
        </row>
        <row r="994">
          <cell r="B994" t="str">
            <v>302-003132</v>
          </cell>
          <cell r="C994" t="str">
            <v>光模块-SFP28-25G-多模(850nm,0.3km,LC)-HX</v>
          </cell>
          <cell r="D994" t="str">
            <v>HXSX-FL1R2C</v>
          </cell>
          <cell r="E994" t="str">
            <v>光模块</v>
          </cell>
          <cell r="F994">
            <v>4.1999999999999997E-3</v>
          </cell>
          <cell r="G994">
            <v>6165</v>
          </cell>
          <cell r="I994" t="str">
            <v>99-000380</v>
          </cell>
        </row>
        <row r="995">
          <cell r="B995" t="str">
            <v>302-002085</v>
          </cell>
          <cell r="C995" t="str">
            <v>SSD PM893读取-3.84TB-SATA 2.5 V1.0</v>
          </cell>
          <cell r="D995" t="str">
            <v>MZ7L33T8HBLT-00B7C</v>
          </cell>
          <cell r="E995" t="str">
            <v>硬盘</v>
          </cell>
          <cell r="F995">
            <v>5.4999999999999997E-3</v>
          </cell>
          <cell r="G995">
            <v>1102</v>
          </cell>
          <cell r="I995" t="str">
            <v>99-000864</v>
          </cell>
        </row>
        <row r="996">
          <cell r="B996" t="str">
            <v>302-003237</v>
          </cell>
          <cell r="C996" t="str">
            <v>光缆组件MPO/PC-MPO/PC多模10m-8芯</v>
          </cell>
          <cell r="D996">
            <v>14134486</v>
          </cell>
          <cell r="E996" t="str">
            <v>线缆</v>
          </cell>
          <cell r="F996">
            <v>2E-3</v>
          </cell>
          <cell r="G996">
            <v>402</v>
          </cell>
          <cell r="I996" t="str">
            <v>99-003237</v>
          </cell>
        </row>
        <row r="997">
          <cell r="B997" t="str">
            <v>302-002977</v>
          </cell>
          <cell r="C997" t="str">
            <v>光缆组件-MPO/PC-8芯-200G-MPO/PC12-200G-多模-10m</v>
          </cell>
          <cell r="D997" t="str">
            <v>14137264-001</v>
          </cell>
          <cell r="E997" t="str">
            <v>线缆</v>
          </cell>
          <cell r="F997">
            <v>2E-3</v>
          </cell>
          <cell r="G997">
            <v>24</v>
          </cell>
          <cell r="I997" t="str">
            <v>99-003237</v>
          </cell>
        </row>
        <row r="998">
          <cell r="B998" t="str">
            <v>302-003097</v>
          </cell>
          <cell r="C998" t="str">
            <v>机箱2U2P-25*2.5EXP-S920S00</v>
          </cell>
          <cell r="D998" t="str">
            <v>02314TLQ</v>
          </cell>
          <cell r="E998" t="str">
            <v>机箱/硬盘背板</v>
          </cell>
          <cell r="F998">
            <v>2.8999999999999998E-3</v>
          </cell>
          <cell r="G998">
            <v>2336</v>
          </cell>
          <cell r="I998" t="str">
            <v>88-000289</v>
          </cell>
        </row>
        <row r="999">
          <cell r="B999" t="str">
            <v>302-000291</v>
          </cell>
          <cell r="C999" t="str">
            <v>提升卡-BC82PRUA</v>
          </cell>
          <cell r="D999" t="str">
            <v>03025VYK</v>
          </cell>
          <cell r="E999" t="str">
            <v>Riser模组</v>
          </cell>
          <cell r="F999">
            <v>5.0000000000000001E-3</v>
          </cell>
          <cell r="G999">
            <v>36699</v>
          </cell>
          <cell r="I999" t="str">
            <v>99-000147</v>
          </cell>
        </row>
        <row r="1000">
          <cell r="B1000" t="str">
            <v>302-002485</v>
          </cell>
          <cell r="C1000" t="str">
            <v>SSD ES3521A V6-1.92T-SATA 6Gb-2.5-读取V1.2</v>
          </cell>
          <cell r="D1000" t="str">
            <v>02550260</v>
          </cell>
          <cell r="E1000" t="str">
            <v>硬盘</v>
          </cell>
          <cell r="F1000">
            <v>5.4999999999999997E-3</v>
          </cell>
          <cell r="G1000">
            <v>34</v>
          </cell>
          <cell r="I1000" t="str">
            <v>99-001354</v>
          </cell>
        </row>
        <row r="1001">
          <cell r="B1001" t="str">
            <v>302-003068</v>
          </cell>
          <cell r="C1001" t="str">
            <v>电源电缆-0.2m-V1.1</v>
          </cell>
          <cell r="D1001" t="str">
            <v>04152996-002</v>
          </cell>
          <cell r="E1001" t="str">
            <v>线缆</v>
          </cell>
          <cell r="F1001">
            <v>2E-3</v>
          </cell>
          <cell r="G1001">
            <v>31184</v>
          </cell>
          <cell r="I1001" t="str">
            <v>99-003068</v>
          </cell>
        </row>
        <row r="1002">
          <cell r="B1002" t="str">
            <v>302-003354</v>
          </cell>
          <cell r="C1002" t="str">
            <v>12*3.5英寸硬盘EXP 2U标准机箱</v>
          </cell>
          <cell r="D1002" t="str">
            <v>0231YBFJ</v>
          </cell>
          <cell r="E1002" t="str">
            <v>机箱/硬盘背板</v>
          </cell>
          <cell r="F1002">
            <v>2.8999999999999998E-3</v>
          </cell>
          <cell r="G1002">
            <v>66</v>
          </cell>
          <cell r="I1002" t="str">
            <v>88-000288</v>
          </cell>
        </row>
        <row r="1003">
          <cell r="B1003" t="str">
            <v>302-003355</v>
          </cell>
          <cell r="C1003" t="str">
            <v>主板 S920S00-5220-AJ 2*(920,32C@2.6G)</v>
          </cell>
          <cell r="D1003" t="str">
            <v>03035FNX</v>
          </cell>
          <cell r="E1003" t="str">
            <v>主板</v>
          </cell>
          <cell r="F1003">
            <v>8.5000000000000006E-3</v>
          </cell>
          <cell r="G1003">
            <v>66</v>
          </cell>
          <cell r="I1003" t="str">
            <v>99-000708</v>
          </cell>
        </row>
        <row r="1004">
          <cell r="B1004" t="str">
            <v>302-003356</v>
          </cell>
          <cell r="C1004" t="str">
            <v>后置 PSU 4*2.5寸硬盘背板组件(支持NVME)</v>
          </cell>
          <cell r="D1004" t="str">
            <v>0258Y247</v>
          </cell>
          <cell r="E1004" t="str">
            <v>后置硬盘背板</v>
          </cell>
          <cell r="F1004">
            <v>2.8999999999999998E-3</v>
          </cell>
          <cell r="G1004">
            <v>66</v>
          </cell>
          <cell r="I1004" t="str">
            <v>99-000297</v>
          </cell>
        </row>
        <row r="1005">
          <cell r="B1005" t="str">
            <v>302-003357</v>
          </cell>
          <cell r="C1005" t="str">
            <v>固态硬盘-480GB-SATA 6Gb/s-读取密集型</v>
          </cell>
          <cell r="D1005" t="str">
            <v>0255YAVS</v>
          </cell>
          <cell r="E1005" t="str">
            <v>硬盘</v>
          </cell>
          <cell r="F1005">
            <v>5.4999999999999997E-3</v>
          </cell>
          <cell r="G1005">
            <v>198</v>
          </cell>
          <cell r="I1005" t="str">
            <v>99-000750</v>
          </cell>
        </row>
        <row r="1006">
          <cell r="B1006" t="str">
            <v>302-003358</v>
          </cell>
          <cell r="C1006" t="str">
            <v>35xx/39xx RAID卡超级电容</v>
          </cell>
          <cell r="D1006" t="str">
            <v>0231Y384</v>
          </cell>
          <cell r="E1006" t="str">
            <v>超级电容</v>
          </cell>
          <cell r="F1006">
            <v>3.2000000000000002E-3</v>
          </cell>
          <cell r="G1006">
            <v>98</v>
          </cell>
          <cell r="I1006" t="str">
            <v>99-001655</v>
          </cell>
        </row>
        <row r="1007">
          <cell r="B1007" t="str">
            <v>302-003359</v>
          </cell>
          <cell r="C1007" t="str">
            <v>4*GE 接口 Card-Board ID 0X68</v>
          </cell>
          <cell r="D1007" t="str">
            <v>0302034300-1</v>
          </cell>
          <cell r="E1007" t="str">
            <v>接口卡</v>
          </cell>
          <cell r="F1007">
            <v>7.7999999999999996E-3</v>
          </cell>
          <cell r="G1007">
            <v>98</v>
          </cell>
          <cell r="I1007" t="str">
            <v>99-000142</v>
          </cell>
        </row>
        <row r="1008">
          <cell r="B1008" t="str">
            <v>302-003360</v>
          </cell>
          <cell r="C1008" t="str">
            <v>网卡-25 Gigabit-64bit-SFP28(不含光模块)</v>
          </cell>
          <cell r="D1008" t="str">
            <v>0257Y275</v>
          </cell>
          <cell r="E1008" t="str">
            <v>网卡</v>
          </cell>
          <cell r="F1008">
            <v>5.7999999999999996E-3</v>
          </cell>
          <cell r="G1008">
            <v>90</v>
          </cell>
          <cell r="I1008" t="str">
            <v>99-000786</v>
          </cell>
        </row>
        <row r="1009">
          <cell r="B1009" t="str">
            <v>302-003361</v>
          </cell>
          <cell r="C1009" t="str">
            <v>制式电源线-中国交流250V10A</v>
          </cell>
          <cell r="D1009" t="str">
            <v>04050955-1</v>
          </cell>
          <cell r="E1009" t="str">
            <v>电源线</v>
          </cell>
          <cell r="F1009">
            <v>2E-3</v>
          </cell>
          <cell r="G1009">
            <v>196</v>
          </cell>
          <cell r="I1009" t="str">
            <v>99-000247</v>
          </cell>
        </row>
        <row r="1010">
          <cell r="B1010" t="str">
            <v>302-003362</v>
          </cell>
          <cell r="C1010" t="str">
            <v>3*16X SLOT (PCIE X8) RISER1&amp;2 模组</v>
          </cell>
          <cell r="D1010" t="str">
            <v>0258Y248</v>
          </cell>
          <cell r="E1010" t="str">
            <v>Riser模组</v>
          </cell>
          <cell r="F1010">
            <v>5.0000000000000001E-3</v>
          </cell>
          <cell r="G1010">
            <v>98</v>
          </cell>
          <cell r="I1010" t="str">
            <v>99-000147</v>
          </cell>
        </row>
        <row r="1011">
          <cell r="B1011" t="str">
            <v>302-003363</v>
          </cell>
          <cell r="C1011" t="str">
            <v>高速电缆-内部高速Slimline</v>
          </cell>
          <cell r="D1011" t="str">
            <v>0405Y022</v>
          </cell>
          <cell r="E1011" t="str">
            <v>线缆</v>
          </cell>
          <cell r="F1011">
            <v>2E-3</v>
          </cell>
          <cell r="G1011">
            <v>98</v>
          </cell>
          <cell r="I1011" t="str">
            <v>99-001844</v>
          </cell>
        </row>
        <row r="1012">
          <cell r="B1012" t="str">
            <v>302-003364</v>
          </cell>
          <cell r="C1012" t="str">
            <v>固态硬盘-3840GB-NVMe PCIe-读取密集型</v>
          </cell>
          <cell r="D1012" t="str">
            <v>0255YATM</v>
          </cell>
          <cell r="E1012" t="str">
            <v>硬盘</v>
          </cell>
          <cell r="F1012">
            <v>5.4999999999999997E-3</v>
          </cell>
          <cell r="G1012">
            <v>144</v>
          </cell>
          <cell r="I1012" t="str">
            <v>99-002062</v>
          </cell>
        </row>
        <row r="1013">
          <cell r="B1013" t="str">
            <v>302-003365</v>
          </cell>
          <cell r="C1013" t="str">
            <v>主板 2*(鲲鹏920,64Core@2.6GHz,16DIMM)</v>
          </cell>
          <cell r="D1013" t="str">
            <v>03035FPA</v>
          </cell>
          <cell r="E1013" t="str">
            <v>主板</v>
          </cell>
          <cell r="F1013">
            <v>8.5000000000000006E-3</v>
          </cell>
          <cell r="G1013">
            <v>20</v>
          </cell>
          <cell r="I1013" t="str">
            <v>99-000712</v>
          </cell>
        </row>
        <row r="1014">
          <cell r="B1014" t="str">
            <v>302-003366</v>
          </cell>
          <cell r="C1014" t="str">
            <v>内存 DDR4 RDIMM,32GB</v>
          </cell>
          <cell r="D1014">
            <v>6200309</v>
          </cell>
          <cell r="E1014" t="str">
            <v>内存</v>
          </cell>
          <cell r="F1014">
            <v>2E-3</v>
          </cell>
          <cell r="G1014">
            <v>992</v>
          </cell>
          <cell r="I1014" t="str">
            <v>99-001627</v>
          </cell>
        </row>
        <row r="1015">
          <cell r="B1015" t="str">
            <v>302-003367</v>
          </cell>
          <cell r="C1015" t="str">
            <v>主板 2*(鲲鹏920,48Core@2.6GHz,16DIMM)</v>
          </cell>
          <cell r="D1015" t="str">
            <v>03035FNY</v>
          </cell>
          <cell r="E1015" t="str">
            <v>主板</v>
          </cell>
          <cell r="F1015">
            <v>8.5000000000000006E-3</v>
          </cell>
          <cell r="G1015">
            <v>12</v>
          </cell>
          <cell r="I1015" t="str">
            <v>99-000711</v>
          </cell>
        </row>
        <row r="1016">
          <cell r="B1016" t="str">
            <v>302-003368</v>
          </cell>
          <cell r="C1016" t="str">
            <v>9560-8i-PCIe RAID标卡-4GB Cache-PCIe 4.0 X</v>
          </cell>
          <cell r="D1016" t="str">
            <v>0231YBJJ</v>
          </cell>
          <cell r="E1016" t="str">
            <v>RAID卡</v>
          </cell>
          <cell r="F1016">
            <v>7.7999999999999996E-3</v>
          </cell>
          <cell r="G1016">
            <v>98</v>
          </cell>
          <cell r="I1016" t="str">
            <v>99-001705</v>
          </cell>
        </row>
        <row r="1017">
          <cell r="B1017" t="str">
            <v>302-003369</v>
          </cell>
          <cell r="C1017" t="str">
            <v>制式电源线-中国交流250V10A</v>
          </cell>
          <cell r="D1017" t="str">
            <v>04050188-1</v>
          </cell>
          <cell r="E1017" t="str">
            <v>电源线</v>
          </cell>
          <cell r="F1017">
            <v>2E-3</v>
          </cell>
          <cell r="G1017">
            <v>196</v>
          </cell>
          <cell r="I1017" t="str">
            <v>99-000248</v>
          </cell>
        </row>
        <row r="1018">
          <cell r="B1018" t="str">
            <v>302-003370</v>
          </cell>
          <cell r="C1018" t="str">
            <v>光收发一体模块-25GBase-SR,0.1km</v>
          </cell>
          <cell r="D1018" t="str">
            <v>3406Y008</v>
          </cell>
          <cell r="E1018" t="str">
            <v>光模块</v>
          </cell>
          <cell r="F1018">
            <v>4.1999999999999997E-3</v>
          </cell>
          <cell r="G1018">
            <v>156</v>
          </cell>
          <cell r="I1018" t="str">
            <v>99-000380</v>
          </cell>
        </row>
        <row r="1019">
          <cell r="B1019" t="str">
            <v>302-003371</v>
          </cell>
          <cell r="C1019" t="str">
            <v>机架服务器 12*3.5英寸硬盘EXP 2U标准机箱(白牌)</v>
          </cell>
          <cell r="D1019" t="str">
            <v>0231YBTM</v>
          </cell>
          <cell r="E1019" t="str">
            <v>机箱/硬盘背板</v>
          </cell>
          <cell r="F1019">
            <v>2.8999999999999998E-3</v>
          </cell>
          <cell r="G1019">
            <v>32</v>
          </cell>
          <cell r="I1019" t="str">
            <v>88-000288</v>
          </cell>
        </row>
        <row r="1020">
          <cell r="B1020" t="str">
            <v>302-003346</v>
          </cell>
          <cell r="C1020" t="str">
            <v>内存DDR4-64GB-3200MT/s-2Rx4 SX</v>
          </cell>
          <cell r="D1020" t="str">
            <v>02510046,02510048</v>
          </cell>
          <cell r="E1020" t="str">
            <v>内存</v>
          </cell>
          <cell r="F1020">
            <v>2E-3</v>
          </cell>
          <cell r="G1020">
            <v>54594</v>
          </cell>
          <cell r="I1020" t="str">
            <v>99-001843</v>
          </cell>
        </row>
        <row r="1021">
          <cell r="B1021" t="str">
            <v>302-003024</v>
          </cell>
          <cell r="C1021" t="str">
            <v>SSD UH611a-960GB-SAS3.0-2.5读取 YL</v>
          </cell>
          <cell r="D1021" t="str">
            <v>RA202960RK003LX</v>
          </cell>
          <cell r="E1021" t="str">
            <v>硬盘</v>
          </cell>
          <cell r="F1021">
            <v>5.4999999999999997E-3</v>
          </cell>
          <cell r="G1021">
            <v>660</v>
          </cell>
          <cell r="I1021" t="str">
            <v>99-003024</v>
          </cell>
        </row>
        <row r="1022">
          <cell r="B1022" t="str">
            <v>302-002416</v>
          </cell>
          <cell r="C1022" t="str">
            <v>S硬盘20T-3.5-SATA 6G-7.2k-512M-DZ-V1.0</v>
          </cell>
          <cell r="D1022" t="str">
            <v>HDEB00SGBA51</v>
          </cell>
          <cell r="E1022" t="str">
            <v>硬盘</v>
          </cell>
          <cell r="F1022">
            <v>5.4999999999999997E-3</v>
          </cell>
          <cell r="G1022">
            <v>1241</v>
          </cell>
          <cell r="I1022" t="str">
            <v>99-003769</v>
          </cell>
        </row>
        <row r="1023">
          <cell r="B1023" t="str">
            <v>302-001847</v>
          </cell>
          <cell r="C1023" t="str">
            <v>硬盘4T-NL SAS 12Gb/s-7.2K-3.5无托 DZ</v>
          </cell>
          <cell r="D1023" t="str">
            <v>MG08SDA400E</v>
          </cell>
          <cell r="E1023" t="str">
            <v>硬盘</v>
          </cell>
          <cell r="F1023">
            <v>5.4999999999999997E-3</v>
          </cell>
          <cell r="G1023">
            <v>171</v>
          </cell>
          <cell r="I1023" t="str">
            <v>99-001846</v>
          </cell>
        </row>
        <row r="1024">
          <cell r="B1024" t="str">
            <v>302-000463</v>
          </cell>
          <cell r="C1024" t="str">
            <v>模组-RISER1&amp;2-16X+16X(X8)-R62X</v>
          </cell>
          <cell r="D1024" t="str">
            <v>02312NFU</v>
          </cell>
          <cell r="E1024" t="str">
            <v>Riser模组</v>
          </cell>
          <cell r="F1024">
            <v>5.0000000000000001E-3</v>
          </cell>
          <cell r="G1024">
            <v>265</v>
          </cell>
          <cell r="I1024" t="str">
            <v>99-000148</v>
          </cell>
        </row>
        <row r="1025">
          <cell r="B1025" t="str">
            <v>302-003387</v>
          </cell>
          <cell r="C1025" t="str">
            <v>S主板S920X00-2*6426(64C@2.6)-BF-3A-GF专用</v>
          </cell>
          <cell r="D1025" t="str">
            <v>026HRF10</v>
          </cell>
          <cell r="E1025" t="str">
            <v>主板</v>
          </cell>
          <cell r="F1025">
            <v>8.5000000000000006E-3</v>
          </cell>
          <cell r="G1025">
            <v>28</v>
          </cell>
          <cell r="I1025" t="str">
            <v>99-000712</v>
          </cell>
        </row>
        <row r="1026">
          <cell r="B1026" t="str">
            <v>302-002158</v>
          </cell>
          <cell r="C1026" t="str">
            <v>服务器直流电源-PDC2000S12-B1-2000W-风冷V1.1</v>
          </cell>
          <cell r="D1026" t="str">
            <v>02132SXL</v>
          </cell>
          <cell r="E1026" t="str">
            <v>电源</v>
          </cell>
          <cell r="F1026">
            <v>5.0000000000000001E-3</v>
          </cell>
          <cell r="G1026">
            <v>30</v>
          </cell>
          <cell r="I1026" t="str">
            <v>99-001778</v>
          </cell>
        </row>
        <row r="1027">
          <cell r="B1027" t="str">
            <v>302-003379</v>
          </cell>
          <cell r="C1027" t="str">
            <v>GPU卡</v>
          </cell>
          <cell r="D1027" t="str">
            <v>02314GPV</v>
          </cell>
          <cell r="E1027" t="str">
            <v>AI推理卡</v>
          </cell>
          <cell r="F1027">
            <v>6.3E-3</v>
          </cell>
          <cell r="G1027">
            <v>40</v>
          </cell>
          <cell r="I1027" t="str">
            <v>99-001842</v>
          </cell>
        </row>
        <row r="1028">
          <cell r="B1028" t="str">
            <v>302-003262</v>
          </cell>
          <cell r="C1028" t="str">
            <v>Atlas 500 A2智能小站带盘-20T-12GB内存(白牌)</v>
          </cell>
          <cell r="D1028" t="str">
            <v>02314NMW</v>
          </cell>
          <cell r="E1028" t="str">
            <v>内存</v>
          </cell>
          <cell r="F1028">
            <v>2E-3</v>
          </cell>
          <cell r="G1028">
            <v>1</v>
          </cell>
        </row>
        <row r="1029">
          <cell r="B1029" t="str">
            <v>302-003245</v>
          </cell>
          <cell r="C1029" t="str">
            <v>Atlas 500 A2 4TB 3.5英寸硬盘仓</v>
          </cell>
          <cell r="D1029" t="str">
            <v>02314LUA</v>
          </cell>
          <cell r="E1029" t="str">
            <v>硬盘</v>
          </cell>
          <cell r="F1029">
            <v>5.4999999999999997E-3</v>
          </cell>
          <cell r="G1029">
            <v>1</v>
          </cell>
        </row>
        <row r="1030">
          <cell r="B1030" t="str">
            <v>302-003244</v>
          </cell>
          <cell r="C1030" t="str">
            <v>Atlas-500 A2 智能小站120W电源（PAC120S12-CN-01）</v>
          </cell>
          <cell r="D1030" t="str">
            <v>02314PSP</v>
          </cell>
          <cell r="E1030" t="str">
            <v>电源</v>
          </cell>
          <cell r="F1030">
            <v>5.0000000000000001E-3</v>
          </cell>
          <cell r="G1030">
            <v>3</v>
          </cell>
        </row>
        <row r="1031">
          <cell r="B1031" t="str">
            <v>302-002510</v>
          </cell>
          <cell r="C1031" t="str">
            <v xml:space="preserve"> Atlas 500 A2智能小站挂耳</v>
          </cell>
          <cell r="D1031">
            <v>21245681</v>
          </cell>
          <cell r="E1031" t="str">
            <v>挂耳</v>
          </cell>
          <cell r="F1031">
            <v>1.6000000000000001E-3</v>
          </cell>
          <cell r="G1031">
            <v>25</v>
          </cell>
        </row>
        <row r="1032">
          <cell r="B1032" t="str">
            <v>302-003168</v>
          </cell>
          <cell r="C1032" t="str">
            <v>机箱2U2P-12*3.5EXP-S920X00-海外</v>
          </cell>
          <cell r="D1032" t="str">
            <v>02314SMW</v>
          </cell>
          <cell r="E1032" t="str">
            <v>机箱/硬盘背板</v>
          </cell>
          <cell r="F1032">
            <v>2.8999999999999998E-3</v>
          </cell>
          <cell r="G1032">
            <v>6</v>
          </cell>
          <cell r="I1032" t="str">
            <v>88-000288</v>
          </cell>
        </row>
        <row r="1033">
          <cell r="B1033" t="str">
            <v>302-003190</v>
          </cell>
          <cell r="C1033" t="str">
            <v>机箱2U2P-8*2.5-S920X00-K22R-02SC2208B2-海外</v>
          </cell>
          <cell r="D1033" t="str">
            <v>02314SMV</v>
          </cell>
          <cell r="E1033" t="str">
            <v>机箱/硬盘背板</v>
          </cell>
          <cell r="F1033">
            <v>2.8999999999999998E-3</v>
          </cell>
          <cell r="G1033">
            <v>7</v>
          </cell>
          <cell r="I1033" t="str">
            <v>88-000495</v>
          </cell>
        </row>
        <row r="1034">
          <cell r="B1034" t="str">
            <v>302-003191</v>
          </cell>
          <cell r="C1034" t="str">
            <v>主板S920S00-2*5220（32C@2.6）-B1-VE-海外</v>
          </cell>
          <cell r="D1034" t="str">
            <v>03050MTP</v>
          </cell>
          <cell r="E1034" t="str">
            <v>主板</v>
          </cell>
          <cell r="F1034">
            <v>8.5000000000000006E-3</v>
          </cell>
          <cell r="G1034">
            <v>17</v>
          </cell>
          <cell r="I1034" t="str">
            <v>99-000708</v>
          </cell>
        </row>
        <row r="1035">
          <cell r="B1035" t="str">
            <v>302-003192</v>
          </cell>
          <cell r="C1035" t="str">
            <v>机箱2U2P-12*3.5EXP-S920S00-K22R-02-SC2312A</v>
          </cell>
          <cell r="D1035" t="str">
            <v>02314SNB</v>
          </cell>
          <cell r="E1035" t="str">
            <v>机箱/硬盘背板</v>
          </cell>
          <cell r="F1035">
            <v>2.8999999999999998E-3</v>
          </cell>
          <cell r="G1035">
            <v>2</v>
          </cell>
          <cell r="I1035" t="str">
            <v>88-000288</v>
          </cell>
        </row>
        <row r="1036">
          <cell r="B1036" t="str">
            <v>302-003099</v>
          </cell>
          <cell r="C1036" t="str">
            <v>机箱2U2P-25*2.5EXP-S920X00</v>
          </cell>
          <cell r="D1036" t="str">
            <v>02314TLP</v>
          </cell>
          <cell r="E1036" t="str">
            <v>机箱/硬盘背板</v>
          </cell>
          <cell r="F1036">
            <v>2.8999999999999998E-3</v>
          </cell>
          <cell r="G1036">
            <v>433</v>
          </cell>
          <cell r="I1036" t="str">
            <v>88-000289</v>
          </cell>
        </row>
        <row r="1037">
          <cell r="B1037" t="str">
            <v>302-003404</v>
          </cell>
          <cell r="C1037" t="str">
            <v>NVMeSSD ES3500PV6-3.84TB-PCIe4-2.5读取HWCC</v>
          </cell>
          <cell r="D1037" t="str">
            <v>02356AYL/02356APD</v>
          </cell>
          <cell r="E1037" t="str">
            <v>硬盘</v>
          </cell>
          <cell r="F1037">
            <v>5.4999999999999997E-3</v>
          </cell>
          <cell r="G1037">
            <v>4551</v>
          </cell>
          <cell r="I1037" t="str">
            <v>99-003404</v>
          </cell>
        </row>
        <row r="1038">
          <cell r="B1038" t="str">
            <v>302-002552</v>
          </cell>
          <cell r="C1038" t="str">
            <v>NVMeSSD J5110-3.84T-AIC-PCIe4-读取DPW</v>
          </cell>
          <cell r="D1038" t="str">
            <v>DPJD4204T0T803T8000</v>
          </cell>
          <cell r="E1038" t="str">
            <v>硬盘</v>
          </cell>
          <cell r="F1038">
            <v>5.4999999999999997E-3</v>
          </cell>
          <cell r="G1038">
            <v>68</v>
          </cell>
        </row>
        <row r="1039">
          <cell r="B1039" t="str">
            <v>302-000310</v>
          </cell>
          <cell r="C1039" t="str">
            <v>电源电缆-0.2m</v>
          </cell>
          <cell r="D1039" t="str">
            <v>04150448-001</v>
          </cell>
          <cell r="E1039" t="str">
            <v>线缆</v>
          </cell>
          <cell r="F1039">
            <v>2E-3</v>
          </cell>
          <cell r="G1039">
            <v>0</v>
          </cell>
          <cell r="I1039" t="str">
            <v>99-003068</v>
          </cell>
        </row>
        <row r="1040">
          <cell r="B1040" t="str">
            <v>302-000300</v>
          </cell>
          <cell r="C1040" t="str">
            <v>PCIE标卡提升卡 2*x8 BC82PRUF</v>
          </cell>
          <cell r="D1040" t="str">
            <v>03026CMN</v>
          </cell>
          <cell r="E1040" t="str">
            <v>Riser模组</v>
          </cell>
          <cell r="F1040">
            <v>5.0000000000000001E-3</v>
          </cell>
          <cell r="G1040">
            <v>1259</v>
          </cell>
          <cell r="I1040" t="str">
            <v>99-000149</v>
          </cell>
        </row>
        <row r="1041">
          <cell r="B1041" t="str">
            <v>302-001880</v>
          </cell>
          <cell r="C1041" t="str">
            <v>天池机箱2U2P-8*2.5英寸硬盘直通机箱(白牌)-S10</v>
          </cell>
          <cell r="D1041" t="str">
            <v>02314BKV</v>
          </cell>
          <cell r="E1041" t="str">
            <v>机箱/硬盘背板</v>
          </cell>
          <cell r="F1041">
            <v>2.8999999999999998E-3</v>
          </cell>
          <cell r="G1041">
            <v>1</v>
          </cell>
          <cell r="I1041" t="str">
            <v>88-002691</v>
          </cell>
        </row>
        <row r="1042">
          <cell r="B1042" t="str">
            <v>302-001944</v>
          </cell>
          <cell r="C1042" t="str">
            <v>SSD ES3521A&amp;nbsp;V6-960G-SATA 6Gb读密集 HW-</v>
          </cell>
          <cell r="D1042" t="str">
            <v>03034QVW</v>
          </cell>
          <cell r="E1042" t="str">
            <v>硬盘</v>
          </cell>
          <cell r="F1042">
            <v>5.4999999999999997E-3</v>
          </cell>
          <cell r="G1042">
            <v>119</v>
          </cell>
        </row>
        <row r="1043">
          <cell r="B1043" t="str">
            <v>302-002403</v>
          </cell>
          <cell r="C1043" t="str">
            <v>SSD UH610a-960GB-SAS3.0-2.5读取YL</v>
          </cell>
          <cell r="D1043" t="str">
            <v>RA211960RK003LX</v>
          </cell>
          <cell r="E1043" t="str">
            <v>硬盘</v>
          </cell>
          <cell r="F1043">
            <v>5.4999999999999997E-3</v>
          </cell>
          <cell r="G1043">
            <v>36</v>
          </cell>
          <cell r="I1043" t="str">
            <v>99-003024</v>
          </cell>
        </row>
        <row r="1044">
          <cell r="B1044" t="str">
            <v>302-002945</v>
          </cell>
          <cell r="C1044" t="str">
            <v>SSD SP861-500GB-SATA 6Gb-2.5-读密集 HLW</v>
          </cell>
          <cell r="D1044" t="str">
            <v>SS3125-R500GT-PN00</v>
          </cell>
          <cell r="E1044" t="str">
            <v>硬盘</v>
          </cell>
          <cell r="F1044">
            <v>5.4999999999999997E-3</v>
          </cell>
          <cell r="G1044">
            <v>35</v>
          </cell>
        </row>
        <row r="1045">
          <cell r="B1045" t="str">
            <v>302-002947</v>
          </cell>
          <cell r="C1045" t="str">
            <v>SSD SP861-2TB-SATA 6Gb-2.5-读密集 HLW</v>
          </cell>
          <cell r="D1045" t="str">
            <v>SS3125-R02T0T-PN00</v>
          </cell>
          <cell r="E1045" t="str">
            <v>硬盘</v>
          </cell>
          <cell r="F1045">
            <v>5.4999999999999997E-3</v>
          </cell>
          <cell r="G1045">
            <v>24</v>
          </cell>
        </row>
        <row r="1046">
          <cell r="B1046" t="str">
            <v>302-003160</v>
          </cell>
          <cell r="C1046" t="str">
            <v>网卡RP2000-SW-2*10Gb-SFP+-PCIe2.0x8</v>
          </cell>
          <cell r="D1046">
            <v>99109966</v>
          </cell>
          <cell r="E1046" t="str">
            <v>网卡</v>
          </cell>
          <cell r="F1046">
            <v>5.7999999999999996E-3</v>
          </cell>
          <cell r="G1046">
            <v>1081</v>
          </cell>
          <cell r="I1046" t="str">
            <v>99-001802</v>
          </cell>
        </row>
        <row r="1047">
          <cell r="B1047" t="str">
            <v>302-003350</v>
          </cell>
          <cell r="C1047" t="str">
            <v>机箱2U2P-4SAS+8NVME硬盘直通标准机箱-X10K-天池</v>
          </cell>
          <cell r="D1047" t="str">
            <v>02314MPJ</v>
          </cell>
          <cell r="E1047" t="str">
            <v>机箱/硬盘背板</v>
          </cell>
          <cell r="F1047">
            <v>2.8999999999999998E-3</v>
          </cell>
          <cell r="G1047">
            <v>7</v>
          </cell>
          <cell r="I1047" t="str">
            <v>88-002692</v>
          </cell>
        </row>
        <row r="1048">
          <cell r="B1048" t="str">
            <v>302-002644</v>
          </cell>
          <cell r="C1048" t="str">
            <v>GPU电源电缆-0.2m-(H2X4(4.2))-8*18UL1569黑</v>
          </cell>
          <cell r="D1048">
            <v>4152766</v>
          </cell>
          <cell r="E1048" t="str">
            <v>线缆</v>
          </cell>
          <cell r="F1048">
            <v>2E-3</v>
          </cell>
          <cell r="G1048">
            <v>15</v>
          </cell>
        </row>
        <row r="1049">
          <cell r="B1049" t="str">
            <v>302-003127</v>
          </cell>
          <cell r="C1049" t="str">
            <v>AI卡-Atlas 300I Duo-PCIe4x16-96GB-150W</v>
          </cell>
          <cell r="D1049" t="str">
            <v>02314SGH</v>
          </cell>
          <cell r="E1049" t="str">
            <v>AI推理卡</v>
          </cell>
          <cell r="F1049">
            <v>6.3E-3</v>
          </cell>
          <cell r="G1049">
            <v>1805</v>
          </cell>
        </row>
        <row r="1050">
          <cell r="B1050" t="str">
            <v>302-002691</v>
          </cell>
          <cell r="C1050" t="str">
            <v>天池8*2.5英寸硬盘背板-BC83HBBA</v>
          </cell>
          <cell r="D1050" t="str">
            <v>0302023925</v>
          </cell>
          <cell r="E1050" t="str">
            <v>机箱/硬盘背板</v>
          </cell>
          <cell r="F1050">
            <v>2.8999999999999998E-3</v>
          </cell>
          <cell r="G1050">
            <v>1903</v>
          </cell>
          <cell r="I1050" t="str">
            <v>88-002691</v>
          </cell>
        </row>
        <row r="1051">
          <cell r="B1051" t="str">
            <v>302-003173</v>
          </cell>
          <cell r="C1051" t="str">
            <v>2*16X SLOT (PCIE X8) RISER3 模组-天池</v>
          </cell>
          <cell r="D1051" t="str">
            <v>02580259</v>
          </cell>
          <cell r="E1051" t="str">
            <v>Riser模组</v>
          </cell>
          <cell r="F1051">
            <v>5.0000000000000001E-3</v>
          </cell>
          <cell r="G1051">
            <v>0</v>
          </cell>
          <cell r="I1051" t="str">
            <v>99-001886</v>
          </cell>
        </row>
        <row r="1052">
          <cell r="B1052" t="str">
            <v>302-001886</v>
          </cell>
          <cell r="C1052" t="str">
            <v>2*16X SLOT(PCIE X8)RISER3模组</v>
          </cell>
          <cell r="D1052" t="str">
            <v>02580259</v>
          </cell>
          <cell r="E1052" t="str">
            <v>Riser模组</v>
          </cell>
          <cell r="F1052">
            <v>5.0000000000000001E-3</v>
          </cell>
          <cell r="G1052">
            <v>758</v>
          </cell>
          <cell r="I1052" t="str">
            <v>99-001886</v>
          </cell>
        </row>
        <row r="1053">
          <cell r="B1053" t="str">
            <v>302-003373</v>
          </cell>
          <cell r="C1053" t="str">
            <v>网卡SP680-4*25G-SFP28-PCIe3.0x8-无模</v>
          </cell>
          <cell r="D1053" t="str">
            <v>02314UVW</v>
          </cell>
          <cell r="E1053" t="str">
            <v>网卡</v>
          </cell>
          <cell r="F1053">
            <v>5.7999999999999996E-3</v>
          </cell>
          <cell r="G1053">
            <v>3573</v>
          </cell>
        </row>
        <row r="1054">
          <cell r="B1054" t="str">
            <v>302-003174</v>
          </cell>
          <cell r="C1054" t="str">
            <v>1*X8 SLOT 软连接Riser1模组-天池</v>
          </cell>
          <cell r="D1054" t="str">
            <v>02580330</v>
          </cell>
          <cell r="E1054" t="str">
            <v>Riser模组</v>
          </cell>
          <cell r="F1054">
            <v>5.0000000000000001E-3</v>
          </cell>
          <cell r="G1054">
            <v>739</v>
          </cell>
        </row>
        <row r="1055">
          <cell r="B1055" t="str">
            <v>302-003301</v>
          </cell>
          <cell r="C1055" t="str">
            <v>机箱2U2P- 4*2.5SAS+12*2.5NVME硬盘机箱(白牌)</v>
          </cell>
          <cell r="D1055" t="str">
            <v>02314SUL</v>
          </cell>
          <cell r="E1055" t="str">
            <v>机箱/硬盘背板</v>
          </cell>
          <cell r="F1055">
            <v>2.8999999999999998E-3</v>
          </cell>
          <cell r="G1055">
            <v>394</v>
          </cell>
          <cell r="I1055" t="str">
            <v>88-003411</v>
          </cell>
        </row>
        <row r="1056">
          <cell r="B1056" t="str">
            <v>302-003170</v>
          </cell>
          <cell r="C1056" t="str">
            <v>光模块-SFP+-10G-多模(850nm,0.3km,LC)-TRC</v>
          </cell>
          <cell r="D1056" t="str">
            <v>TPS-TGM3-85DCR</v>
          </cell>
          <cell r="E1056" t="str">
            <v>光模块</v>
          </cell>
          <cell r="F1056">
            <v>4.1999999999999997E-3</v>
          </cell>
          <cell r="G1056">
            <v>29939</v>
          </cell>
          <cell r="I1056" t="str">
            <v>99-000381</v>
          </cell>
        </row>
        <row r="1057">
          <cell r="B1057" t="str">
            <v>302-002015</v>
          </cell>
          <cell r="C1057" t="str">
            <v>S电源线墙插国标-PI直公-C13直母-250V10A-1.5m黑-交流</v>
          </cell>
          <cell r="D1057">
            <v>4050955</v>
          </cell>
          <cell r="E1057" t="str">
            <v>电源线</v>
          </cell>
          <cell r="F1057">
            <v>2E-3</v>
          </cell>
          <cell r="G1057">
            <v>0</v>
          </cell>
          <cell r="I1057" t="str">
            <v>99-000247</v>
          </cell>
        </row>
        <row r="1058">
          <cell r="B1058" t="str">
            <v>302-002367</v>
          </cell>
          <cell r="C1058" t="str">
            <v>S内存DDR4-16G-2933-2Rx8-RD HLS V1.0-LJ</v>
          </cell>
          <cell r="D1058" t="str">
            <v>HMA82GR7CJR8N-WM</v>
          </cell>
          <cell r="E1058" t="str">
            <v>内存</v>
          </cell>
          <cell r="F1058">
            <v>2E-3</v>
          </cell>
          <cell r="G1058">
            <v>6</v>
          </cell>
          <cell r="I1058" t="str">
            <v>99-002658</v>
          </cell>
        </row>
        <row r="1059">
          <cell r="B1059" t="str">
            <v>302-002189</v>
          </cell>
          <cell r="C1059" t="str">
            <v>4*GE 接口卡LJ</v>
          </cell>
          <cell r="D1059" t="str">
            <v>03025VYQ</v>
          </cell>
          <cell r="E1059" t="str">
            <v>接口卡</v>
          </cell>
          <cell r="F1059">
            <v>7.7999999999999996E-3</v>
          </cell>
          <cell r="G1059">
            <v>40</v>
          </cell>
          <cell r="I1059" t="str">
            <v>99-000142</v>
          </cell>
        </row>
        <row r="1060">
          <cell r="B1060" t="str">
            <v>302-002355</v>
          </cell>
          <cell r="C1060" t="str">
            <v>3508/3516 RAID卡超级电容-LJ</v>
          </cell>
          <cell r="D1060" t="str">
            <v>02311WDP</v>
          </cell>
          <cell r="E1060" t="str">
            <v>超级电容</v>
          </cell>
          <cell r="F1060">
            <v>3.2000000000000002E-3</v>
          </cell>
          <cell r="G1060">
            <v>272</v>
          </cell>
          <cell r="I1060" t="str">
            <v>99-001655</v>
          </cell>
        </row>
        <row r="1061">
          <cell r="B1061" t="str">
            <v>302-002513</v>
          </cell>
          <cell r="C1061" t="str">
            <v>S电源线墙插国标-PI直公-C13直母-250V10A-3.0m黑交流-LJ</v>
          </cell>
          <cell r="D1061" t="str">
            <v>04041104</v>
          </cell>
          <cell r="E1061" t="str">
            <v>电源线</v>
          </cell>
          <cell r="F1061">
            <v>2E-3</v>
          </cell>
          <cell r="G1061">
            <v>2</v>
          </cell>
          <cell r="I1061" t="str">
            <v>99-000247</v>
          </cell>
        </row>
        <row r="1062">
          <cell r="B1062" t="str">
            <v>302-002517</v>
          </cell>
          <cell r="C1062" t="str">
            <v>3508/3516 RAID卡超级电容-LJ</v>
          </cell>
          <cell r="D1062" t="str">
            <v>02311WDP</v>
          </cell>
          <cell r="E1062" t="str">
            <v>超级电容</v>
          </cell>
          <cell r="F1062">
            <v>3.2000000000000002E-3</v>
          </cell>
          <cell r="G1062">
            <v>1</v>
          </cell>
          <cell r="I1062" t="str">
            <v>99-001655</v>
          </cell>
        </row>
        <row r="1063">
          <cell r="B1063" t="str">
            <v>302-002518</v>
          </cell>
          <cell r="C1063" t="str">
            <v>RAID扣卡 SR450C 2GB(Avago3508)-LJ</v>
          </cell>
          <cell r="D1063" t="str">
            <v>02312YJE</v>
          </cell>
          <cell r="E1063" t="str">
            <v>RAID卡</v>
          </cell>
          <cell r="F1063">
            <v>7.7999999999999996E-3</v>
          </cell>
          <cell r="G1063">
            <v>1</v>
          </cell>
          <cell r="I1063" t="str">
            <v>99-000134</v>
          </cell>
        </row>
        <row r="1064">
          <cell r="B1064" t="str">
            <v>302-002519</v>
          </cell>
          <cell r="C1064" t="str">
            <v>4*GE 接口卡-LJ</v>
          </cell>
          <cell r="D1064" t="str">
            <v>03025VYQ</v>
          </cell>
          <cell r="E1064" t="str">
            <v>接口卡</v>
          </cell>
          <cell r="F1064">
            <v>7.7999999999999996E-3</v>
          </cell>
          <cell r="G1064">
            <v>1</v>
          </cell>
          <cell r="I1064" t="str">
            <v>99-000142</v>
          </cell>
        </row>
        <row r="1065">
          <cell r="B1065" t="str">
            <v>302-002522</v>
          </cell>
          <cell r="C1065" t="str">
            <v>900W 交流电源-LJ</v>
          </cell>
          <cell r="D1065" t="str">
            <v>02311TLF</v>
          </cell>
          <cell r="E1065" t="str">
            <v>电源</v>
          </cell>
          <cell r="F1065">
            <v>5.0000000000000001E-3</v>
          </cell>
          <cell r="G1065">
            <v>2</v>
          </cell>
          <cell r="I1065" t="str">
            <v>99-000448</v>
          </cell>
        </row>
        <row r="1066">
          <cell r="B1066" t="str">
            <v>302-002523</v>
          </cell>
          <cell r="C1066" t="str">
            <v>TM280板载灵活网卡-25GE/10GE光口-4端口-LJ</v>
          </cell>
          <cell r="D1066" t="str">
            <v>03025VYP</v>
          </cell>
          <cell r="E1066" t="str">
            <v>灵活网卡</v>
          </cell>
          <cell r="F1066">
            <v>5.7999999999999996E-3</v>
          </cell>
          <cell r="G1066">
            <v>1</v>
          </cell>
          <cell r="I1066" t="str">
            <v>99-001036</v>
          </cell>
        </row>
        <row r="1067">
          <cell r="B1067" t="str">
            <v>302-002524</v>
          </cell>
          <cell r="C1067" t="str">
            <v>#S主板S920S00-2*5220(32C@2.6)-VD-1710-LJ</v>
          </cell>
          <cell r="D1067" t="str">
            <v>03028DYD</v>
          </cell>
          <cell r="E1067" t="str">
            <v>主板</v>
          </cell>
          <cell r="F1067">
            <v>8.5000000000000006E-3</v>
          </cell>
          <cell r="G1067">
            <v>1</v>
          </cell>
          <cell r="I1067" t="str">
            <v>99-000708</v>
          </cell>
        </row>
        <row r="1068">
          <cell r="B1068" t="str">
            <v>302-002525</v>
          </cell>
          <cell r="C1068" t="str">
            <v>机箱 12*3.5硬盘EXP 2U2P,K22R-02 1620S-LJ</v>
          </cell>
          <cell r="D1068" t="str">
            <v>02312YTC</v>
          </cell>
          <cell r="E1068" t="str">
            <v>机箱/硬盘背板</v>
          </cell>
          <cell r="F1068">
            <v>2.8999999999999998E-3</v>
          </cell>
          <cell r="G1068">
            <v>1</v>
          </cell>
          <cell r="I1068" t="str">
            <v>88-000288</v>
          </cell>
        </row>
        <row r="1069">
          <cell r="B1069" t="str">
            <v>302-002535</v>
          </cell>
          <cell r="C1069" t="str">
            <v>S内存DDR4-32G-2933-2Rx4-RD ZG V1.0-LJ</v>
          </cell>
          <cell r="D1069" t="str">
            <v>SCQ32GP12H1F1C-29Y-1</v>
          </cell>
          <cell r="E1069" t="str">
            <v>内存</v>
          </cell>
          <cell r="F1069">
            <v>2E-3</v>
          </cell>
          <cell r="G1069">
            <v>8</v>
          </cell>
          <cell r="I1069" t="str">
            <v>99-000375</v>
          </cell>
        </row>
        <row r="1070">
          <cell r="B1070" t="str">
            <v>302-001172</v>
          </cell>
          <cell r="C1070" t="str">
            <v>3*16X SLOT (PCIe x8) Riser1模组-S920S03</v>
          </cell>
          <cell r="D1070" t="str">
            <v>02313RJS</v>
          </cell>
          <cell r="E1070" t="str">
            <v>Riser模组</v>
          </cell>
          <cell r="F1070">
            <v>5.0000000000000001E-3</v>
          </cell>
          <cell r="G1070">
            <v>5</v>
          </cell>
          <cell r="I1070" t="str">
            <v>99-001287</v>
          </cell>
        </row>
        <row r="1071">
          <cell r="B1071" t="str">
            <v>302-002794</v>
          </cell>
          <cell r="C1071" t="str">
            <v>S主板S920S03-1*5220(32C@2.6)AP-1711-3A</v>
          </cell>
          <cell r="D1071" t="str">
            <v>03050LSM</v>
          </cell>
          <cell r="E1071" t="str">
            <v>主板</v>
          </cell>
          <cell r="F1071">
            <v>8.5000000000000006E-3</v>
          </cell>
          <cell r="G1071">
            <v>5</v>
          </cell>
          <cell r="I1071" t="str">
            <v>99-002794</v>
          </cell>
        </row>
        <row r="1072">
          <cell r="B1072" t="str">
            <v>302-001173</v>
          </cell>
          <cell r="C1072" t="str">
            <v>2U2P短机箱 12*3.5标准机箱,支持RAID</v>
          </cell>
          <cell r="D1072" t="str">
            <v>02313RJX</v>
          </cell>
          <cell r="E1072" t="str">
            <v>机箱/硬盘背板</v>
          </cell>
          <cell r="F1072">
            <v>2.8999999999999998E-3</v>
          </cell>
          <cell r="G1072">
            <v>5</v>
          </cell>
          <cell r="I1072" t="str">
            <v>88-000296</v>
          </cell>
        </row>
        <row r="1073">
          <cell r="B1073" t="str">
            <v>302-002084</v>
          </cell>
          <cell r="C1073" t="str">
            <v>SSD PM893读取-7.68TB-SATA 2.5 V1.0</v>
          </cell>
          <cell r="D1073" t="str">
            <v>MZ7L37T6HBLA</v>
          </cell>
          <cell r="E1073" t="str">
            <v>硬盘</v>
          </cell>
          <cell r="F1073">
            <v>5.4999999999999997E-3</v>
          </cell>
          <cell r="G1073">
            <v>101</v>
          </cell>
          <cell r="I1073" t="str">
            <v>99-002084</v>
          </cell>
        </row>
        <row r="1074">
          <cell r="B1074" t="str">
            <v>302-003411</v>
          </cell>
          <cell r="C1074" t="str">
            <v>天池4SAS+12NVME机箱背板-X10</v>
          </cell>
          <cell r="D1074" t="str">
            <v>0302023938</v>
          </cell>
          <cell r="E1074" t="str">
            <v>机箱/硬盘背板</v>
          </cell>
          <cell r="F1074">
            <v>2.8999999999999998E-3</v>
          </cell>
          <cell r="G1074">
            <v>261</v>
          </cell>
          <cell r="I1074" t="str">
            <v>88-003411</v>
          </cell>
        </row>
        <row r="1075">
          <cell r="B1075" t="str">
            <v>302-003388</v>
          </cell>
          <cell r="C1075" t="str">
            <v>光模块-10G-SFP+-单模-1310nm-10km-LC-TRC</v>
          </cell>
          <cell r="D1075" t="str">
            <v>TPS-TG10-31DCR</v>
          </cell>
          <cell r="E1075" t="str">
            <v>光模块</v>
          </cell>
          <cell r="F1075">
            <v>4.1999999999999997E-3</v>
          </cell>
          <cell r="G1075">
            <v>5929</v>
          </cell>
          <cell r="I1075" t="str">
            <v>99-000175</v>
          </cell>
        </row>
        <row r="1076">
          <cell r="B1076" t="str">
            <v>302-003064</v>
          </cell>
          <cell r="C1076" t="str">
            <v>NVMeSSD UH811a-1.92TB-PCIe4-2.5读取YL-K</v>
          </cell>
          <cell r="D1076" t="str">
            <v>RP2A41T9RK004LX</v>
          </cell>
          <cell r="E1076" t="str">
            <v>硬盘</v>
          </cell>
          <cell r="F1076">
            <v>5.4999999999999997E-3</v>
          </cell>
          <cell r="G1076">
            <v>78</v>
          </cell>
          <cell r="I1076" t="str">
            <v>99-002079</v>
          </cell>
        </row>
        <row r="1077">
          <cell r="B1077" t="str">
            <v>302-003431</v>
          </cell>
          <cell r="C1077" t="str">
            <v>S电源线国标-16A直公-C19直母-250V-1.2M-黄色-交流SYLX</v>
          </cell>
          <cell r="D1077" t="str">
            <v>1126045B02009</v>
          </cell>
          <cell r="E1077" t="str">
            <v>电源线</v>
          </cell>
          <cell r="F1077">
            <v>2E-3</v>
          </cell>
          <cell r="G1077">
            <v>332</v>
          </cell>
        </row>
        <row r="1078">
          <cell r="B1078" t="str">
            <v>302-003432</v>
          </cell>
          <cell r="C1078" t="str">
            <v>S电源线欧标-16A三插-C19直母-250V-1.2M-黄色-交流SYLX</v>
          </cell>
          <cell r="D1078" t="str">
            <v>1126045A02010</v>
          </cell>
          <cell r="E1078" t="str">
            <v>电源线</v>
          </cell>
          <cell r="F1078">
            <v>2E-3</v>
          </cell>
          <cell r="G1078">
            <v>136</v>
          </cell>
        </row>
        <row r="1079">
          <cell r="B1079" t="str">
            <v>302-003340</v>
          </cell>
          <cell r="C1079" t="str">
            <v>服务器白金2000W 2.0消冗版本交流电源</v>
          </cell>
          <cell r="D1079" t="str">
            <v>02314KMU</v>
          </cell>
          <cell r="E1079" t="str">
            <v>电源</v>
          </cell>
          <cell r="F1079">
            <v>5.0000000000000001E-3</v>
          </cell>
          <cell r="G1079">
            <v>5171</v>
          </cell>
          <cell r="I1079" t="str">
            <v>99-000184</v>
          </cell>
        </row>
        <row r="1080">
          <cell r="B1080" t="str">
            <v>302-003290</v>
          </cell>
          <cell r="C1080" t="str">
            <v>A800T A2右挂耳板/0302023953</v>
          </cell>
          <cell r="D1080" t="str">
            <v>0302023953</v>
          </cell>
          <cell r="E1080" t="str">
            <v>挂耳</v>
          </cell>
          <cell r="F1080">
            <v>1.6000000000000001E-3</v>
          </cell>
          <cell r="G1080">
            <v>0</v>
          </cell>
          <cell r="I1080" t="str">
            <v>99-002963</v>
          </cell>
        </row>
        <row r="1081">
          <cell r="B1081" t="str">
            <v>302-002685</v>
          </cell>
          <cell r="C1081" t="str">
            <v>S内存DDR4-32G-3200-4G*4Bit-RD HW</v>
          </cell>
          <cell r="D1081">
            <v>2510089</v>
          </cell>
          <cell r="E1081" t="str">
            <v>内存</v>
          </cell>
          <cell r="F1081">
            <v>2E-3</v>
          </cell>
          <cell r="G1081">
            <v>0</v>
          </cell>
        </row>
        <row r="1082">
          <cell r="B1082" t="str">
            <v>302-002608</v>
          </cell>
          <cell r="C1082" t="str">
            <v>功能模块-Atlas-IT21BP4A02-铜排框模块</v>
          </cell>
          <cell r="D1082" t="str">
            <v>02312VLY</v>
          </cell>
          <cell r="E1082" t="str">
            <v>其他部件</v>
          </cell>
          <cell r="F1082">
            <v>3.0999999999999999E-3</v>
          </cell>
          <cell r="G1082">
            <v>0</v>
          </cell>
        </row>
        <row r="1083">
          <cell r="B1083" t="str">
            <v>302-002686</v>
          </cell>
          <cell r="C1083" t="str">
            <v>A924 910 Pro B AI风冷业务板 A03</v>
          </cell>
          <cell r="D1083" t="str">
            <v>02313HSB</v>
          </cell>
          <cell r="E1083" t="str">
            <v>主板</v>
          </cell>
          <cell r="F1083">
            <v>8.5000000000000006E-3</v>
          </cell>
          <cell r="G1083">
            <v>0</v>
          </cell>
        </row>
        <row r="1084">
          <cell r="B1084" t="str">
            <v>302-002919</v>
          </cell>
          <cell r="C1084" t="str">
            <v>制成板-A924-V2-BC82RCIB-右用户接口板-5*2</v>
          </cell>
          <cell r="D1084" t="str">
            <v>03026HRE</v>
          </cell>
          <cell r="E1084" t="str">
            <v>挂耳</v>
          </cell>
          <cell r="F1084">
            <v>1.6000000000000001E-3</v>
          </cell>
          <cell r="G1084">
            <v>0</v>
          </cell>
          <cell r="I1084" t="str">
            <v>99-000717</v>
          </cell>
        </row>
        <row r="1085">
          <cell r="B1085" t="str">
            <v>302-002920</v>
          </cell>
          <cell r="C1085" t="str">
            <v>A924硬盘背板IT21BP8A-八80风扇十SSD背板A</v>
          </cell>
          <cell r="D1085" t="str">
            <v>03027AHF</v>
          </cell>
          <cell r="E1085" t="str">
            <v>机箱/硬盘背板</v>
          </cell>
          <cell r="F1085">
            <v>2.8999999999999998E-3</v>
          </cell>
          <cell r="G1085">
            <v>0</v>
          </cell>
          <cell r="I1085" t="str">
            <v>88-002609</v>
          </cell>
        </row>
        <row r="1086">
          <cell r="B1086" t="str">
            <v>302-002921</v>
          </cell>
          <cell r="C1086" t="str">
            <v>制成板-A924服务器-BC82LCIA-左用户接口板-4*2</v>
          </cell>
          <cell r="D1086" t="str">
            <v>03025VYY</v>
          </cell>
          <cell r="E1086" t="str">
            <v>挂耳</v>
          </cell>
          <cell r="F1086">
            <v>1.6000000000000001E-3</v>
          </cell>
          <cell r="G1086">
            <v>0</v>
          </cell>
          <cell r="I1086" t="str">
            <v>99-000491</v>
          </cell>
        </row>
        <row r="1087">
          <cell r="B1087" t="str">
            <v>302-002924</v>
          </cell>
          <cell r="C1087" t="str">
            <v>IT设备信号线缆-0.70m-(H2X25(1.0))</v>
          </cell>
          <cell r="D1087">
            <v>4052595</v>
          </cell>
          <cell r="E1087" t="str">
            <v>线缆</v>
          </cell>
          <cell r="F1087">
            <v>2E-3</v>
          </cell>
          <cell r="G1087">
            <v>0</v>
          </cell>
          <cell r="I1087" t="str">
            <v>99-001840</v>
          </cell>
        </row>
        <row r="1088">
          <cell r="B1088" t="str">
            <v>302-002925</v>
          </cell>
          <cell r="C1088" t="str">
            <v>监控和告警信号线0.45m H2X12-UL1685 28AWG-H2X10</v>
          </cell>
          <cell r="D1088" t="str">
            <v>04080650-005</v>
          </cell>
          <cell r="E1088" t="str">
            <v>线缆</v>
          </cell>
          <cell r="F1088">
            <v>2E-3</v>
          </cell>
          <cell r="G1088">
            <v>0</v>
          </cell>
          <cell r="I1088" t="str">
            <v>99-001820</v>
          </cell>
        </row>
        <row r="1089">
          <cell r="B1089" t="str">
            <v>302-003287</v>
          </cell>
          <cell r="C1089" t="str">
            <v>昇腾910 AI业务板B</v>
          </cell>
          <cell r="D1089">
            <v>302035132</v>
          </cell>
          <cell r="E1089" t="str">
            <v>其他板卡</v>
          </cell>
          <cell r="F1089">
            <v>3.0999999999999999E-3</v>
          </cell>
          <cell r="G1089">
            <v>0</v>
          </cell>
        </row>
        <row r="1090">
          <cell r="B1090" t="str">
            <v>302-003288</v>
          </cell>
          <cell r="C1090" t="str">
            <v>Hi1620 4P服务器主板E-5250</v>
          </cell>
          <cell r="D1090" t="str">
            <v>03050MJX</v>
          </cell>
          <cell r="E1090" t="str">
            <v>主板</v>
          </cell>
          <cell r="F1090">
            <v>8.5000000000000006E-3</v>
          </cell>
          <cell r="G1090">
            <v>0</v>
          </cell>
          <cell r="I1090" t="str">
            <v>99-003288</v>
          </cell>
        </row>
        <row r="1091">
          <cell r="B1091" t="str">
            <v>302-003293</v>
          </cell>
          <cell r="C1091" t="str">
            <v>A800T A2-八80风扇十SSD背板E</v>
          </cell>
          <cell r="D1091">
            <v>302035133</v>
          </cell>
          <cell r="E1091" t="str">
            <v>后置硬盘背板</v>
          </cell>
          <cell r="F1091">
            <v>2.8999999999999998E-3</v>
          </cell>
          <cell r="G1091">
            <v>0</v>
          </cell>
        </row>
        <row r="1092">
          <cell r="B1092" t="str">
            <v>302-002628</v>
          </cell>
          <cell r="C1092" t="str">
            <v>IT设备电缆-信号线缆-0.70m-A924内部线缆</v>
          </cell>
          <cell r="D1092">
            <v>4052595</v>
          </cell>
          <cell r="E1092" t="str">
            <v>线缆</v>
          </cell>
          <cell r="F1092">
            <v>2E-3</v>
          </cell>
          <cell r="G1092">
            <v>0</v>
          </cell>
          <cell r="I1092" t="str">
            <v>99-001840</v>
          </cell>
        </row>
        <row r="1093">
          <cell r="B1093" t="str">
            <v>302-002630</v>
          </cell>
          <cell r="C1093" t="str">
            <v>监控和告警电缆-信号电缆-0.45m-A924内部线缆</v>
          </cell>
          <cell r="D1093" t="str">
            <v>04080650-005</v>
          </cell>
          <cell r="E1093" t="str">
            <v>线缆</v>
          </cell>
          <cell r="F1093">
            <v>2E-3</v>
          </cell>
          <cell r="G1093">
            <v>0</v>
          </cell>
          <cell r="I1093" t="str">
            <v>99-001820</v>
          </cell>
        </row>
        <row r="1094">
          <cell r="B1094" t="str">
            <v>302-003289</v>
          </cell>
          <cell r="C1094" t="str">
            <v>Atlas 800T 挂耳</v>
          </cell>
          <cell r="D1094" t="str">
            <v>21205115-010</v>
          </cell>
          <cell r="E1094" t="str">
            <v>挂耳</v>
          </cell>
          <cell r="F1094">
            <v>1.6000000000000001E-3</v>
          </cell>
          <cell r="G1094">
            <v>0</v>
          </cell>
        </row>
        <row r="1095">
          <cell r="B1095" t="str">
            <v>302-003291</v>
          </cell>
          <cell r="C1095" t="str">
            <v>Atlas 800T A2 风扇模块</v>
          </cell>
          <cell r="D1095" t="str">
            <v>02314LFJ</v>
          </cell>
          <cell r="E1095" t="str">
            <v>风扇</v>
          </cell>
          <cell r="F1095">
            <v>2.8999999999999998E-3</v>
          </cell>
          <cell r="G1095">
            <v>0</v>
          </cell>
        </row>
        <row r="1096">
          <cell r="B1096" t="str">
            <v>302-003292</v>
          </cell>
          <cell r="C1096" t="str">
            <v>910_3模组</v>
          </cell>
          <cell r="D1096" t="str">
            <v>03050MJY</v>
          </cell>
          <cell r="E1096" t="str">
            <v>NPU模组</v>
          </cell>
          <cell r="F1096">
            <v>6.3E-3</v>
          </cell>
          <cell r="G1096">
            <v>0</v>
          </cell>
          <cell r="I1096" t="str">
            <v>99-003292</v>
          </cell>
        </row>
        <row r="1097">
          <cell r="B1097" t="str">
            <v>302-003390</v>
          </cell>
          <cell r="C1097" t="str">
            <v>高速电缆PCIe-0.26m-SlimX8弯头</v>
          </cell>
          <cell r="D1097" t="str">
            <v>04052579</v>
          </cell>
          <cell r="E1097" t="str">
            <v>线缆</v>
          </cell>
          <cell r="F1097">
            <v>2E-3</v>
          </cell>
          <cell r="G1097">
            <v>0</v>
          </cell>
        </row>
        <row r="1098">
          <cell r="B1098" t="str">
            <v>302-002881</v>
          </cell>
          <cell r="C1098" t="str">
            <v>S主板S920S03-1*5220(32C@2.6)-AP-3A</v>
          </cell>
          <cell r="D1098" t="str">
            <v>03050LSM</v>
          </cell>
          <cell r="E1098" t="str">
            <v>主板</v>
          </cell>
          <cell r="F1098">
            <v>8.5000000000000006E-3</v>
          </cell>
          <cell r="G1098">
            <v>0</v>
          </cell>
          <cell r="I1098" t="str">
            <v>99-002794</v>
          </cell>
        </row>
        <row r="1099">
          <cell r="B1099" t="str">
            <v>302-000779</v>
          </cell>
          <cell r="C1099" t="str">
            <v>光驱 GP65NB60 USB +/-RW LG</v>
          </cell>
          <cell r="D1099" t="str">
            <v>GP65NB60</v>
          </cell>
          <cell r="E1099" t="str">
            <v xml:space="preserve">光驱 </v>
          </cell>
          <cell r="F1099">
            <v>1E-4</v>
          </cell>
          <cell r="G1099">
            <v>171</v>
          </cell>
        </row>
        <row r="1100">
          <cell r="B1100" t="str">
            <v>302-003163</v>
          </cell>
          <cell r="C1100" t="str">
            <v>AI功能模块-Atlas 200I A2-8T 4GB-IT22MMDBO1</v>
          </cell>
          <cell r="D1100" t="str">
            <v>02314UFS</v>
          </cell>
          <cell r="E1100" t="str">
            <v>AI推理卡</v>
          </cell>
          <cell r="F1100">
            <v>6.3E-3</v>
          </cell>
          <cell r="G1100">
            <v>19615</v>
          </cell>
        </row>
        <row r="1101">
          <cell r="B1101" t="str">
            <v>302-003417</v>
          </cell>
          <cell r="C1101" t="str">
            <v>AI功能模块-Atlas 200I A2-20T 12GB-IT22MMDA12</v>
          </cell>
          <cell r="D1101" t="str">
            <v>02314TLW</v>
          </cell>
          <cell r="E1101" t="str">
            <v>AI推理卡</v>
          </cell>
          <cell r="F1101">
            <v>6.3E-3</v>
          </cell>
          <cell r="G1101">
            <v>13136</v>
          </cell>
        </row>
        <row r="1102">
          <cell r="B1102" t="str">
            <v>302-003041</v>
          </cell>
          <cell r="C1102" t="str">
            <v>海外-12*3.5英寸硬盘直通 2U标准机箱(白牌)-K22R-02</v>
          </cell>
          <cell r="D1102" t="str">
            <v>02314HTN</v>
          </cell>
          <cell r="E1102" t="str">
            <v>机箱/硬盘背板</v>
          </cell>
          <cell r="F1102">
            <v>2.8999999999999998E-3</v>
          </cell>
          <cell r="G1102">
            <v>3</v>
          </cell>
        </row>
        <row r="1103">
          <cell r="B1103" t="str">
            <v>302-001916</v>
          </cell>
          <cell r="C1103" t="str">
            <v>NVMeSSD-R5100-7.68T-U.2-PCIe4-2.5-读取 DPW</v>
          </cell>
          <cell r="D1103" t="str">
            <v>DPRD3108T0T507T6000</v>
          </cell>
          <cell r="E1103" t="str">
            <v>硬盘</v>
          </cell>
          <cell r="F1103">
            <v>5.4999999999999997E-3</v>
          </cell>
          <cell r="G1103">
            <v>1222</v>
          </cell>
          <cell r="I1103" t="str">
            <v>99-001916</v>
          </cell>
        </row>
        <row r="1104">
          <cell r="B1104" t="str">
            <v>302-000256</v>
          </cell>
          <cell r="C1104" t="str">
            <v>IT设备电缆-信号线缆-0.65m</v>
          </cell>
          <cell r="D1104" t="str">
            <v>4052349</v>
          </cell>
          <cell r="E1104" t="str">
            <v>线缆</v>
          </cell>
          <cell r="F1104">
            <v>2E-3</v>
          </cell>
          <cell r="G1104">
            <v>2892</v>
          </cell>
        </row>
        <row r="1105">
          <cell r="B1105" t="str">
            <v>302-001171</v>
          </cell>
          <cell r="C1105" t="str">
            <v>2*16X SLOT (PCIE X8) Riser2模组-S920S03</v>
          </cell>
          <cell r="D1105" t="str">
            <v>02313RJT</v>
          </cell>
          <cell r="E1105" t="str">
            <v>Riser模组</v>
          </cell>
          <cell r="F1105">
            <v>5.0000000000000001E-3</v>
          </cell>
          <cell r="G1105">
            <v>2</v>
          </cell>
          <cell r="I1105" t="str">
            <v>99-001286</v>
          </cell>
        </row>
        <row r="1106">
          <cell r="B1106" t="str">
            <v>302-003276</v>
          </cell>
          <cell r="C1106" t="str">
            <v>风扇组件-10.8V-13.2V-80*80*38-80mm-8-54W-105</v>
          </cell>
          <cell r="D1106" t="str">
            <v>32030275-001</v>
          </cell>
          <cell r="E1106" t="str">
            <v>风扇</v>
          </cell>
          <cell r="F1106">
            <v>2.8999999999999998E-3</v>
          </cell>
          <cell r="G1106">
            <v>5787</v>
          </cell>
        </row>
        <row r="1107">
          <cell r="B1107" t="str">
            <v>302-003198</v>
          </cell>
          <cell r="C1107" t="str">
            <v>电源电缆-0.085m&amp;0.105m-红/黑-80A弯头快插连接器-10mm2</v>
          </cell>
          <cell r="D1107" t="str">
            <v>04154117</v>
          </cell>
          <cell r="E1107" t="str">
            <v>线缆</v>
          </cell>
          <cell r="F1107">
            <v>2E-3</v>
          </cell>
          <cell r="G1107">
            <v>2563</v>
          </cell>
        </row>
        <row r="1108">
          <cell r="B1108" t="str">
            <v>302-003470</v>
          </cell>
          <cell r="C1108" t="str">
            <v>信号线缆-0.4m-(H2x10(1.25))-(H2x10(2.0))</v>
          </cell>
          <cell r="D1108" t="str">
            <v>04051923-001</v>
          </cell>
          <cell r="E1108" t="str">
            <v>线缆</v>
          </cell>
          <cell r="F1108">
            <v>2E-3</v>
          </cell>
          <cell r="G1108">
            <v>0</v>
          </cell>
          <cell r="I1108" t="str">
            <v>99-003470</v>
          </cell>
        </row>
        <row r="1109">
          <cell r="B1109" t="str">
            <v>302-003471</v>
          </cell>
          <cell r="C1109" t="str">
            <v>电源电缆-0.5m-(H2X7(3.0))-(H2X7(4.20))</v>
          </cell>
          <cell r="D1109" t="str">
            <v>04152703-001</v>
          </cell>
          <cell r="E1109" t="str">
            <v>线缆</v>
          </cell>
          <cell r="F1109">
            <v>2E-3</v>
          </cell>
          <cell r="G1109">
            <v>0</v>
          </cell>
          <cell r="I1109" t="str">
            <v>99-003471</v>
          </cell>
        </row>
        <row r="1110">
          <cell r="B1110" t="str">
            <v>302-003122</v>
          </cell>
          <cell r="C1110" t="str">
            <v>NVMeSSD J5310-1.6T-AIC PCe4-读写 DPW</v>
          </cell>
          <cell r="D1110" t="str">
            <v>DPJD4202T0T801T600</v>
          </cell>
          <cell r="E1110" t="str">
            <v>硬盘</v>
          </cell>
          <cell r="F1110">
            <v>5.4999999999999997E-3</v>
          </cell>
          <cell r="G1110">
            <v>343</v>
          </cell>
        </row>
        <row r="1111">
          <cell r="B1111" t="str">
            <v>302-003126</v>
          </cell>
          <cell r="C1111" t="str">
            <v>电源电缆-0.47m-黑-80A弯头快插连接器</v>
          </cell>
          <cell r="D1111" t="str">
            <v>04154103</v>
          </cell>
          <cell r="E1111" t="str">
            <v>线缆</v>
          </cell>
          <cell r="F1111">
            <v>2E-3</v>
          </cell>
          <cell r="G1111">
            <v>193</v>
          </cell>
          <cell r="I1111" t="str">
            <v>99-003126</v>
          </cell>
        </row>
        <row r="1112">
          <cell r="B1112" t="str">
            <v>302-003472</v>
          </cell>
          <cell r="C1112" t="str">
            <v>S电源线国标-C13直-C20直-250V10A-1.5m黑-交流HTWD</v>
          </cell>
          <cell r="D1112" t="str">
            <v>N/A-38</v>
          </cell>
          <cell r="E1112" t="str">
            <v>电源线</v>
          </cell>
          <cell r="F1112">
            <v>2E-3</v>
          </cell>
          <cell r="G1112">
            <v>260</v>
          </cell>
        </row>
        <row r="1113">
          <cell r="B1113" t="str">
            <v>302-002715</v>
          </cell>
          <cell r="C1113" t="str">
            <v>高速电缆-Internal Mini SAS HD Cable-0.98M弯头</v>
          </cell>
          <cell r="D1113" t="str">
            <v>04051939-002</v>
          </cell>
          <cell r="E1113" t="str">
            <v>线缆</v>
          </cell>
          <cell r="F1113">
            <v>2E-3</v>
          </cell>
          <cell r="G1113">
            <v>0</v>
          </cell>
        </row>
        <row r="1114">
          <cell r="B1114" t="str">
            <v>302-003123</v>
          </cell>
          <cell r="C1114" t="str">
            <v>监控和告警电缆-信号线-0.52m-前置背板信号线-2/4pin屏蔽-天池</v>
          </cell>
          <cell r="D1114" t="str">
            <v>04080975-004</v>
          </cell>
          <cell r="E1114" t="str">
            <v>线缆</v>
          </cell>
          <cell r="F1114">
            <v>2E-3</v>
          </cell>
          <cell r="G1114">
            <v>257</v>
          </cell>
        </row>
        <row r="1115">
          <cell r="B1115" t="str">
            <v>302-002639</v>
          </cell>
          <cell r="C1115" t="str">
            <v>S主板 S920X10-2*5252C（48C@2.6）-AD</v>
          </cell>
          <cell r="D1115" t="str">
            <v>03050LSH</v>
          </cell>
          <cell r="E1115" t="str">
            <v>主板</v>
          </cell>
          <cell r="F1115">
            <v>8.5000000000000006E-3</v>
          </cell>
          <cell r="G1115">
            <v>12</v>
          </cell>
        </row>
        <row r="1116">
          <cell r="B1116" t="str">
            <v>302-002326</v>
          </cell>
          <cell r="C1116" t="str">
            <v>服务器机箱-复杂盒式-Atlas 500-447mm-475mm-86.1mm</v>
          </cell>
          <cell r="D1116">
            <v>21032534</v>
          </cell>
          <cell r="E1116" t="str">
            <v>机箱/硬盘背板</v>
          </cell>
          <cell r="F1116">
            <v>2.8999999999999998E-3</v>
          </cell>
          <cell r="G1116">
            <v>0</v>
          </cell>
        </row>
        <row r="1117">
          <cell r="B1117" t="str">
            <v>601-8133</v>
          </cell>
          <cell r="C1117" t="str">
            <v xml:space="preserve">	中央处理器</v>
          </cell>
          <cell r="D1117">
            <v>41020872</v>
          </cell>
          <cell r="E1117" t="str">
            <v>CPU</v>
          </cell>
          <cell r="F1117">
            <v>8.5000000000000006E-3</v>
          </cell>
          <cell r="G1117">
            <v>2493</v>
          </cell>
          <cell r="I1117" t="str">
            <v>77-008133</v>
          </cell>
        </row>
        <row r="1118">
          <cell r="B1118" t="str">
            <v>302-001717</v>
          </cell>
          <cell r="C1118" t="str">
            <v>SAS Expander扩展卡(含线缆)</v>
          </cell>
          <cell r="D1118" t="str">
            <v>08170002</v>
          </cell>
          <cell r="E1118" t="str">
            <v>超级电容</v>
          </cell>
          <cell r="F1118">
            <v>3.2000000000000002E-3</v>
          </cell>
          <cell r="G1118">
            <v>1247</v>
          </cell>
        </row>
        <row r="1119">
          <cell r="B1119" t="str">
            <v>302-001718</v>
          </cell>
          <cell r="C1119" t="str">
            <v>网卡 10Gb(Intel 82599)双口SFP+无光模块</v>
          </cell>
          <cell r="D1119" t="str">
            <v>03030WSQ/06310227/03022PKQ/06310195</v>
          </cell>
          <cell r="E1119" t="str">
            <v>网卡</v>
          </cell>
          <cell r="F1119">
            <v>5.7999999999999996E-3</v>
          </cell>
          <cell r="G1119">
            <v>2516</v>
          </cell>
        </row>
        <row r="1120">
          <cell r="B1120" t="str">
            <v>302-002434</v>
          </cell>
          <cell r="C1120" t="str">
            <v>S硬盘16T-3.5SATA-6G7.2K-512M-XS V1.2</v>
          </cell>
          <cell r="D1120" t="str">
            <v>99014XQH</v>
          </cell>
          <cell r="E1120" t="str">
            <v>硬盘</v>
          </cell>
          <cell r="F1120">
            <v>5.4999999999999997E-3</v>
          </cell>
          <cell r="G1120">
            <v>0</v>
          </cell>
          <cell r="I1120" t="str">
            <v>99-001163</v>
          </cell>
        </row>
        <row r="1121">
          <cell r="B1121" t="str">
            <v>302-000709</v>
          </cell>
          <cell r="C1121" t="str">
            <v>S主板 S920X01-5250-AJ 1*（920,48C）04.1</v>
          </cell>
          <cell r="D1121" t="str">
            <v>03050CSE</v>
          </cell>
          <cell r="E1121" t="str">
            <v>主板</v>
          </cell>
          <cell r="F1121">
            <v>8.5000000000000006E-3</v>
          </cell>
          <cell r="G1121">
            <v>2</v>
          </cell>
          <cell r="I1121" t="str">
            <v>99-000709</v>
          </cell>
        </row>
        <row r="1122">
          <cell r="B1122" t="str">
            <v>302-003375</v>
          </cell>
          <cell r="C1122" t="str">
            <v>内存DDR4-64G-3200-2Rx4-RD</v>
          </cell>
          <cell r="D1122">
            <v>2510134</v>
          </cell>
          <cell r="E1122" t="str">
            <v>内存</v>
          </cell>
          <cell r="F1122">
            <v>2E-3</v>
          </cell>
          <cell r="G1122">
            <v>144</v>
          </cell>
          <cell r="I1122" t="str">
            <v>99-003375</v>
          </cell>
        </row>
        <row r="1123">
          <cell r="B1123" t="str">
            <v>302-001891</v>
          </cell>
          <cell r="C1123" t="str">
            <v>2*2.5后置硬盘背板组件+16X(PCIE X16)-RISER1&amp;2模组</v>
          </cell>
          <cell r="D1123" t="str">
            <v>02580260</v>
          </cell>
          <cell r="E1123" t="str">
            <v>后置硬盘背板</v>
          </cell>
          <cell r="F1123">
            <v>2.8999999999999998E-3</v>
          </cell>
          <cell r="G1123">
            <v>73</v>
          </cell>
        </row>
        <row r="1124">
          <cell r="B1124" t="str">
            <v>302-003240</v>
          </cell>
          <cell r="C1124" t="str">
            <v>SSD UM310a-480GB-SATA-2.5 读取YL-[AVAP]</v>
          </cell>
          <cell r="D1124" t="str">
            <v>RS201480MF003LX</v>
          </cell>
          <cell r="E1124" t="str">
            <v>硬盘</v>
          </cell>
          <cell r="F1124">
            <v>5.4999999999999997E-3</v>
          </cell>
          <cell r="G1124">
            <v>110</v>
          </cell>
        </row>
        <row r="1125">
          <cell r="B1125" t="str">
            <v>302-003251</v>
          </cell>
          <cell r="C1125" t="str">
            <v>SSD UM310a-1.92T-SATA-2.5 读取YL-[AVAP]</v>
          </cell>
          <cell r="D1125" t="str">
            <v>RS2011T9MF003LX</v>
          </cell>
          <cell r="E1125" t="str">
            <v>硬盘</v>
          </cell>
          <cell r="F1125">
            <v>5.4999999999999997E-3</v>
          </cell>
          <cell r="G1125">
            <v>4</v>
          </cell>
          <cell r="I1125" t="str">
            <v>99-003528</v>
          </cell>
        </row>
        <row r="1126">
          <cell r="B1126" t="str">
            <v>302-003372</v>
          </cell>
          <cell r="C1126" t="str">
            <v>网卡SP681-2*25G-SFP28-PCIe3.0x8-无模</v>
          </cell>
          <cell r="D1126" t="str">
            <v>02314UVX</v>
          </cell>
          <cell r="E1126" t="str">
            <v>网卡</v>
          </cell>
          <cell r="F1126">
            <v>5.7999999999999996E-3</v>
          </cell>
          <cell r="G1126">
            <v>5836</v>
          </cell>
          <cell r="I1126" t="str">
            <v>99-003372</v>
          </cell>
        </row>
        <row r="1127">
          <cell r="B1127" t="str">
            <v>302-002350</v>
          </cell>
          <cell r="C1127" t="str">
            <v>#S主板S920X00-2*5250(48C@2.6)-AE-1710-LJ</v>
          </cell>
          <cell r="D1127" t="str">
            <v>03050BDN</v>
          </cell>
          <cell r="E1127" t="str">
            <v>主板</v>
          </cell>
          <cell r="F1127">
            <v>8.5000000000000006E-3</v>
          </cell>
          <cell r="G1127">
            <v>1</v>
          </cell>
          <cell r="I1127" t="str">
            <v>99-000711</v>
          </cell>
        </row>
        <row r="1128">
          <cell r="B1128" t="str">
            <v>302-003030</v>
          </cell>
          <cell r="C1128" t="str">
            <v>SSD-UNCIA 3836-3.84TB-SATA-2.5 读取 JBL</v>
          </cell>
          <cell r="D1128" t="str">
            <v>RSYE3836N-3840</v>
          </cell>
          <cell r="E1128" t="str">
            <v>硬盘</v>
          </cell>
          <cell r="F1128">
            <v>5.4999999999999997E-3</v>
          </cell>
          <cell r="G1128">
            <v>57</v>
          </cell>
          <cell r="I1128" t="str">
            <v>99-003030</v>
          </cell>
        </row>
        <row r="1129">
          <cell r="B1129" t="str">
            <v>302-003525</v>
          </cell>
          <cell r="C1129" t="str">
            <v>5SSDTE820-480G-SATA-2.5读取HLW-[AVAP]</v>
          </cell>
          <cell r="D1129" t="str">
            <v>F480GT-EN00C1-M</v>
          </cell>
          <cell r="E1129" t="str">
            <v>硬盘</v>
          </cell>
          <cell r="F1129">
            <v>5.4999999999999997E-3</v>
          </cell>
          <cell r="G1129">
            <v>1314</v>
          </cell>
          <cell r="I1129" t="str">
            <v>99-003525</v>
          </cell>
        </row>
        <row r="1130">
          <cell r="B1130" t="str">
            <v>302-003528</v>
          </cell>
          <cell r="C1130" t="str">
            <v>SSD TE820-1.92T-SATA-2.5读取HLW-[AVAP]</v>
          </cell>
          <cell r="D1130" t="str">
            <v>F01T9T-EN00C3-M</v>
          </cell>
          <cell r="E1130" t="str">
            <v>硬盘</v>
          </cell>
          <cell r="F1130">
            <v>5.4999999999999997E-3</v>
          </cell>
          <cell r="G1130">
            <v>1040</v>
          </cell>
          <cell r="I1130" t="str">
            <v>99-003528</v>
          </cell>
        </row>
        <row r="1131">
          <cell r="B1131" t="str">
            <v>909-000001</v>
          </cell>
          <cell r="C1131" t="str">
            <v>A924NPU连接NPU线缆，0.28M</v>
          </cell>
          <cell r="D1131">
            <v>1914270055</v>
          </cell>
          <cell r="E1131" t="str">
            <v>线缆</v>
          </cell>
          <cell r="F1131">
            <v>2E-3</v>
          </cell>
          <cell r="G1131">
            <v>0</v>
          </cell>
          <cell r="I1131" t="str">
            <v>99-001899</v>
          </cell>
        </row>
        <row r="1132">
          <cell r="B1132" t="str">
            <v>909-000002</v>
          </cell>
          <cell r="C1132" t="str">
            <v>A924主板线缆1.5M,多节点弯曲</v>
          </cell>
          <cell r="D1132" t="str">
            <v>99016KNK</v>
          </cell>
          <cell r="E1132" t="str">
            <v>线缆</v>
          </cell>
          <cell r="F1132">
            <v>2E-3</v>
          </cell>
          <cell r="G1132">
            <v>0</v>
          </cell>
          <cell r="I1132" t="str">
            <v>99-003774</v>
          </cell>
        </row>
        <row r="1133">
          <cell r="B1133" t="str">
            <v>909-000003</v>
          </cell>
          <cell r="C1133" t="str">
            <v>A924NPU底板上的连接线，0.43M</v>
          </cell>
          <cell r="D1133">
            <v>99095369</v>
          </cell>
          <cell r="E1133" t="str">
            <v>线缆</v>
          </cell>
          <cell r="F1133">
            <v>2E-3</v>
          </cell>
          <cell r="G1133">
            <v>0</v>
          </cell>
          <cell r="I1133" t="str">
            <v>99-003771</v>
          </cell>
        </row>
        <row r="1134">
          <cell r="B1134" t="str">
            <v>909-000004</v>
          </cell>
          <cell r="C1134" t="str">
            <v>A924连接NPU底板和主板的线缆。0.54M</v>
          </cell>
          <cell r="D1134">
            <v>99095430</v>
          </cell>
          <cell r="E1134" t="str">
            <v>线缆</v>
          </cell>
          <cell r="F1134">
            <v>2E-3</v>
          </cell>
          <cell r="G1134">
            <v>0</v>
          </cell>
          <cell r="I1134" t="str">
            <v>99-003770</v>
          </cell>
        </row>
        <row r="1135">
          <cell r="B1135" t="str">
            <v>909-000005</v>
          </cell>
          <cell r="C1135" t="str">
            <v>A924连接NPU底板和主板的线缆。0.45M</v>
          </cell>
          <cell r="D1135">
            <v>99095431</v>
          </cell>
          <cell r="E1135" t="str">
            <v>线缆</v>
          </cell>
          <cell r="F1135">
            <v>2E-3</v>
          </cell>
          <cell r="G1135">
            <v>0</v>
          </cell>
          <cell r="I1135" t="str">
            <v>99-003777</v>
          </cell>
        </row>
        <row r="1136">
          <cell r="B1136" t="str">
            <v>909-000006</v>
          </cell>
          <cell r="C1136" t="str">
            <v>A924连接NPU底板和主板的线缆。0.82M</v>
          </cell>
          <cell r="D1136">
            <v>99095432</v>
          </cell>
          <cell r="E1136" t="str">
            <v>线缆</v>
          </cell>
          <cell r="F1136">
            <v>2E-3</v>
          </cell>
          <cell r="G1136">
            <v>0</v>
          </cell>
          <cell r="I1136" t="str">
            <v>99-003776</v>
          </cell>
        </row>
        <row r="1137">
          <cell r="B1137" t="str">
            <v>909-000007</v>
          </cell>
          <cell r="C1137" t="str">
            <v>A924连接NPU底板和主板的线缆。0.54M</v>
          </cell>
          <cell r="D1137">
            <v>99095434</v>
          </cell>
          <cell r="E1137" t="str">
            <v>线缆</v>
          </cell>
          <cell r="F1137">
            <v>2E-3</v>
          </cell>
          <cell r="G1137">
            <v>0</v>
          </cell>
          <cell r="I1137" t="str">
            <v>99-003775</v>
          </cell>
        </row>
        <row r="1138">
          <cell r="B1138" t="str">
            <v>909-000008</v>
          </cell>
          <cell r="C1138" t="str">
            <v>Riser模组线缆0.56M（447模组附带线缆）</v>
          </cell>
          <cell r="D1138" t="str">
            <v>1904052477-006</v>
          </cell>
          <cell r="E1138" t="str">
            <v>线缆</v>
          </cell>
          <cell r="F1138">
            <v>2E-3</v>
          </cell>
          <cell r="G1138">
            <v>0</v>
          </cell>
        </row>
        <row r="1139">
          <cell r="B1139" t="str">
            <v>302-003302</v>
          </cell>
          <cell r="C1139" t="str">
            <v>网卡HP382 25G双口SFP28(Mellanox CX-5) Lx无光模块</v>
          </cell>
          <cell r="D1139">
            <v>2570211</v>
          </cell>
          <cell r="E1139" t="str">
            <v>网卡</v>
          </cell>
          <cell r="F1139">
            <v>5.7999999999999996E-3</v>
          </cell>
          <cell r="G1139">
            <v>5978</v>
          </cell>
          <cell r="I1139" t="str">
            <v>99-003302</v>
          </cell>
        </row>
        <row r="1140">
          <cell r="B1140" t="str">
            <v>302-003096</v>
          </cell>
          <cell r="C1140" t="str">
            <v>机箱2U2P-12*3.5直通-S920X00</v>
          </cell>
          <cell r="D1140" t="str">
            <v>02314TKW</v>
          </cell>
          <cell r="E1140" t="str">
            <v>机箱/硬盘背板</v>
          </cell>
          <cell r="F1140">
            <v>2.8999999999999998E-3</v>
          </cell>
          <cell r="G1140">
            <v>16</v>
          </cell>
          <cell r="I1140" t="str">
            <v>88-000296</v>
          </cell>
        </row>
        <row r="1141">
          <cell r="B1141" t="str">
            <v>302-002309</v>
          </cell>
          <cell r="C1141" t="str">
            <v>#机箱2U2P-8*2.5(8SATA/SAS)-X10（不含SAS线）</v>
          </cell>
          <cell r="D1141" t="str">
            <v>02314GUN</v>
          </cell>
          <cell r="E1141" t="str">
            <v>机箱/硬盘背板</v>
          </cell>
          <cell r="F1141">
            <v>2.8999999999999998E-3</v>
          </cell>
          <cell r="G1141">
            <v>0</v>
          </cell>
          <cell r="I1141" t="str">
            <v>88-002691</v>
          </cell>
        </row>
        <row r="1142">
          <cell r="B1142" t="str">
            <v>302-002668</v>
          </cell>
          <cell r="C1142" t="str">
            <v>UBC线Slim 8X弯-直--16000MB/s-0.4m</v>
          </cell>
          <cell r="D1142" t="str">
            <v>14270148</v>
          </cell>
          <cell r="E1142" t="str">
            <v>线缆</v>
          </cell>
          <cell r="F1142">
            <v>2E-3</v>
          </cell>
          <cell r="G1142">
            <v>1145</v>
          </cell>
        </row>
        <row r="1143">
          <cell r="B1143" t="str">
            <v>302-002896</v>
          </cell>
          <cell r="C1143" t="str">
            <v>NVMeSSD S2000E-3.2T-U.2 PCIe4 2.5-读写 YX</v>
          </cell>
          <cell r="D1143" t="str">
            <v>S2000E-YE2-U2A03T2</v>
          </cell>
          <cell r="E1143" t="str">
            <v>硬盘</v>
          </cell>
          <cell r="F1143">
            <v>5.4999999999999997E-3</v>
          </cell>
          <cell r="G1143">
            <v>1671</v>
          </cell>
        </row>
        <row r="1144">
          <cell r="B1144" t="str">
            <v>302-002422</v>
          </cell>
          <cell r="C1144" t="str">
            <v>Atlas 500 A2智能小站无盘整机-20T-12GB内存(白牌)</v>
          </cell>
          <cell r="D1144" t="str">
            <v>02314NMX</v>
          </cell>
          <cell r="E1144" t="str">
            <v>内存</v>
          </cell>
          <cell r="F1144">
            <v>2E-3</v>
          </cell>
          <cell r="G1144">
            <v>10</v>
          </cell>
        </row>
        <row r="1145">
          <cell r="B1145" t="str">
            <v>302-002507</v>
          </cell>
          <cell r="C1145" t="str">
            <v xml:space="preserve"> Atlas-500 A2 智能小站60W电源（PAC60S12-AN）</v>
          </cell>
          <cell r="D1145" t="str">
            <v>02131664</v>
          </cell>
          <cell r="E1145" t="str">
            <v>电源</v>
          </cell>
          <cell r="F1145">
            <v>5.0000000000000001E-3</v>
          </cell>
          <cell r="G1145">
            <v>11</v>
          </cell>
        </row>
        <row r="1146">
          <cell r="B1146" t="str">
            <v>302-002508</v>
          </cell>
          <cell r="C1146" t="str">
            <v xml:space="preserve"> Atlas 500 A2智能小站电源线-2-输入</v>
          </cell>
          <cell r="D1146">
            <v>4152797</v>
          </cell>
          <cell r="E1146" t="str">
            <v>电源线</v>
          </cell>
          <cell r="F1146">
            <v>2E-3</v>
          </cell>
          <cell r="G1146">
            <v>4</v>
          </cell>
          <cell r="I1146" t="str">
            <v>99-001607</v>
          </cell>
        </row>
        <row r="1147">
          <cell r="B1147" t="str">
            <v>302-002509</v>
          </cell>
          <cell r="C1147" t="str">
            <v xml:space="preserve"> Atlas 500 A2智能小站电源线-1-输出</v>
          </cell>
          <cell r="D1147" t="str">
            <v>04154363</v>
          </cell>
          <cell r="E1147" t="str">
            <v>电源线</v>
          </cell>
          <cell r="F1147">
            <v>2E-3</v>
          </cell>
          <cell r="G1147">
            <v>12</v>
          </cell>
        </row>
        <row r="1148">
          <cell r="B1148" t="str">
            <v>302-003437</v>
          </cell>
          <cell r="C1148" t="str">
            <v>服务器4SAS+12NVME英寸EXP硬盘机箱-S10</v>
          </cell>
          <cell r="D1148" t="str">
            <v>02314UAE</v>
          </cell>
          <cell r="E1148" t="str">
            <v>机箱/硬盘背板</v>
          </cell>
          <cell r="F1148">
            <v>2.8999999999999998E-3</v>
          </cell>
          <cell r="G1148">
            <v>84</v>
          </cell>
          <cell r="I1148" t="str">
            <v>88-003411</v>
          </cell>
        </row>
        <row r="1149">
          <cell r="B1149" t="str">
            <v>302-001607</v>
          </cell>
          <cell r="C1149" t="str">
            <v xml:space="preserve">电源电缆-1.8m-1.0mm^2-(PI直公)智能小站atlas 500 </v>
          </cell>
          <cell r="D1149" t="str">
            <v>04152797</v>
          </cell>
          <cell r="E1149" t="str">
            <v>电源线</v>
          </cell>
          <cell r="F1149">
            <v>2E-3</v>
          </cell>
          <cell r="G1149">
            <v>7</v>
          </cell>
          <cell r="I1149" t="str">
            <v>99-001607</v>
          </cell>
        </row>
        <row r="1150">
          <cell r="B1150" t="str">
            <v>302-000295</v>
          </cell>
          <cell r="C1150" t="str">
            <v>SAS提升卡板-BC82PRNE</v>
          </cell>
          <cell r="D1150" t="str">
            <v>03025VYS</v>
          </cell>
          <cell r="E1150" t="str">
            <v>PCIe提升卡</v>
          </cell>
          <cell r="F1150">
            <v>3.0999999999999999E-3</v>
          </cell>
          <cell r="G1150">
            <v>0</v>
          </cell>
        </row>
        <row r="1151">
          <cell r="B1151" t="str">
            <v>302-000649</v>
          </cell>
          <cell r="C1151" t="str">
            <v>硬盘6T-SATA 6Gb/s-7.2K-3.5及托 备 XJ</v>
          </cell>
          <cell r="D1151" t="str">
            <v>02540007=</v>
          </cell>
          <cell r="E1151" t="str">
            <v>硬盘</v>
          </cell>
          <cell r="F1151">
            <v>5.4999999999999997E-3</v>
          </cell>
          <cell r="G1151">
            <v>0</v>
          </cell>
          <cell r="I1151" t="str">
            <v>99-000646</v>
          </cell>
        </row>
        <row r="1152">
          <cell r="B1152" t="str">
            <v>302-002039</v>
          </cell>
          <cell r="C1152" t="str">
            <v>S硬盘6T-3.5SATA-6G7.2K-256M-XJ V1.0</v>
          </cell>
          <cell r="D1152" t="str">
            <v>1YZ110-177</v>
          </cell>
          <cell r="E1152" t="str">
            <v>硬盘</v>
          </cell>
          <cell r="F1152">
            <v>5.4999999999999997E-3</v>
          </cell>
          <cell r="G1152">
            <v>0</v>
          </cell>
          <cell r="I1152" t="str">
            <v>99-000646</v>
          </cell>
        </row>
        <row r="1153">
          <cell r="B1153" t="str">
            <v>302-002048</v>
          </cell>
          <cell r="C1153" t="str">
            <v>S硬盘10T-3.5SATA-6G7.2K-256M-XJ V1.1</v>
          </cell>
          <cell r="D1153" t="str">
            <v>02312VWU</v>
          </cell>
          <cell r="E1153" t="str">
            <v>硬盘</v>
          </cell>
          <cell r="F1153">
            <v>5.4999999999999997E-3</v>
          </cell>
          <cell r="G1153">
            <v>0</v>
          </cell>
          <cell r="I1153" t="str">
            <v>99-001042</v>
          </cell>
        </row>
        <row r="1154">
          <cell r="B1154" t="str">
            <v>302-000029</v>
          </cell>
          <cell r="C1154" t="str">
            <v>S内存DDR4-32G-2933-2Rx8-RD HLS V1.0</v>
          </cell>
          <cell r="D1154" t="str">
            <v>HMAA4GR7AJR8N-WM</v>
          </cell>
          <cell r="E1154" t="str">
            <v>内存</v>
          </cell>
          <cell r="F1154">
            <v>2E-3</v>
          </cell>
          <cell r="G1154">
            <v>144</v>
          </cell>
          <cell r="I1154" t="str">
            <v>99-000977</v>
          </cell>
        </row>
        <row r="1155">
          <cell r="B1155" t="str">
            <v>302-002317</v>
          </cell>
          <cell r="C1155" t="str">
            <v>S内存DDR4-32G-3200-2Rx4-RD MG V1.0</v>
          </cell>
          <cell r="D1155" t="str">
            <v>MTA36ASF4G72PZ-3G2</v>
          </cell>
          <cell r="E1155" t="str">
            <v>内存</v>
          </cell>
          <cell r="F1155">
            <v>2E-3</v>
          </cell>
          <cell r="G1155">
            <v>0</v>
          </cell>
        </row>
        <row r="1156">
          <cell r="B1156" t="str">
            <v>302-000740</v>
          </cell>
          <cell r="C1156" t="str">
            <v>网卡25G四口SFP+Hi1822无光模块</v>
          </cell>
          <cell r="D1156" t="str">
            <v>02312BWG</v>
          </cell>
          <cell r="E1156" t="str">
            <v>网卡</v>
          </cell>
          <cell r="F1156">
            <v>5.7999999999999996E-3</v>
          </cell>
          <cell r="G1156">
            <v>0</v>
          </cell>
        </row>
        <row r="1157">
          <cell r="B1157" t="str">
            <v>302-000252</v>
          </cell>
          <cell r="C1157" t="str">
            <v>高速电缆Mini SAS HD 4i 高速电缆-0.32m</v>
          </cell>
          <cell r="D1157">
            <v>4051059</v>
          </cell>
          <cell r="E1157" t="str">
            <v>线缆</v>
          </cell>
          <cell r="F1157">
            <v>2E-3</v>
          </cell>
          <cell r="G1157">
            <v>1</v>
          </cell>
        </row>
        <row r="1158">
          <cell r="B1158" t="str">
            <v>302-000478</v>
          </cell>
          <cell r="C1158" t="str">
            <v>电缆-右挂耳线(短)-R62X</v>
          </cell>
          <cell r="D1158" t="str">
            <v>4052871</v>
          </cell>
          <cell r="E1158" t="str">
            <v>线缆</v>
          </cell>
          <cell r="F1158">
            <v>2E-3</v>
          </cell>
          <cell r="G1158">
            <v>0</v>
          </cell>
        </row>
        <row r="1159">
          <cell r="B1159" t="str">
            <v>302-002155</v>
          </cell>
          <cell r="C1159" t="str">
            <v>电源电缆0.30m-H2X7(3.0)2*18UL2651-8C黑扁平</v>
          </cell>
          <cell r="D1159" t="str">
            <v>04152145-004</v>
          </cell>
          <cell r="E1159" t="str">
            <v>线缆</v>
          </cell>
          <cell r="F1159">
            <v>2E-3</v>
          </cell>
          <cell r="G1159">
            <v>0</v>
          </cell>
          <cell r="I1159" t="str">
            <v>99-000311</v>
          </cell>
        </row>
        <row r="1160">
          <cell r="B1160" t="str">
            <v>302-002750</v>
          </cell>
          <cell r="C1160" t="str">
            <v>信号电缆-配置串口电缆-3m-(D9母)-(CC4P0.48黑(S))</v>
          </cell>
          <cell r="D1160" t="str">
            <v>4042967</v>
          </cell>
          <cell r="E1160" t="str">
            <v>线缆</v>
          </cell>
          <cell r="F1160">
            <v>2E-3</v>
          </cell>
          <cell r="G1160">
            <v>0</v>
          </cell>
        </row>
        <row r="1161">
          <cell r="B1161" t="str">
            <v>302-002751</v>
          </cell>
          <cell r="C1161" t="str">
            <v>电源电缆-1.5m-6mm^2-黄绿-(OT6-4)-H07Z-K-6/2黄绿</v>
          </cell>
          <cell r="D1161" t="str">
            <v>04150328</v>
          </cell>
          <cell r="E1161" t="str">
            <v>线缆</v>
          </cell>
          <cell r="F1161">
            <v>2E-3</v>
          </cell>
          <cell r="G1161">
            <v>0</v>
          </cell>
        </row>
        <row r="1162">
          <cell r="B1162" t="str">
            <v>302-003037</v>
          </cell>
          <cell r="C1162" t="str">
            <v>制成板-A924 Hi1620 4P服务器主板A-IT21SK4A</v>
          </cell>
          <cell r="D1162" t="str">
            <v>03027AHA</v>
          </cell>
          <cell r="E1162" t="str">
            <v>主板</v>
          </cell>
          <cell r="F1162">
            <v>8.5000000000000006E-3</v>
          </cell>
          <cell r="G1162">
            <v>0</v>
          </cell>
        </row>
        <row r="1163">
          <cell r="B1163" t="str">
            <v>302-003056</v>
          </cell>
          <cell r="C1163" t="str">
            <v>监控和告警电缆-信号线-0.86m</v>
          </cell>
          <cell r="D1163" t="str">
            <v>04080684-001</v>
          </cell>
          <cell r="E1163" t="str">
            <v>线缆</v>
          </cell>
          <cell r="F1163">
            <v>2E-3</v>
          </cell>
          <cell r="G1163">
            <v>0</v>
          </cell>
        </row>
        <row r="1164">
          <cell r="B1164" t="str">
            <v>302-003057</v>
          </cell>
          <cell r="C1164" t="str">
            <v>功能模块-BC8M19FAN-4056风扇组件</v>
          </cell>
          <cell r="D1164" t="str">
            <v>02312UKK</v>
          </cell>
          <cell r="E1164" t="str">
            <v>线缆</v>
          </cell>
          <cell r="F1164">
            <v>2E-3</v>
          </cell>
          <cell r="G1164">
            <v>0</v>
          </cell>
        </row>
        <row r="1165">
          <cell r="B1165" t="str">
            <v>302-003058</v>
          </cell>
          <cell r="C1165" t="str">
            <v>1U机箱-10*SAS/SATA硬盘背板(支持4个NVMe),PCIe 4.0-1*2</v>
          </cell>
          <cell r="D1165" t="str">
            <v>03027FRU</v>
          </cell>
          <cell r="E1165" t="str">
            <v>机箱/硬盘背板</v>
          </cell>
          <cell r="F1165">
            <v>2.8999999999999998E-3</v>
          </cell>
          <cell r="G1165">
            <v>0</v>
          </cell>
        </row>
        <row r="1166">
          <cell r="B1166" t="str">
            <v>302-003059</v>
          </cell>
          <cell r="C1166" t="str">
            <v>高速电缆-内部PCIe高速线缆-0.95m&amp;0.85m</v>
          </cell>
          <cell r="D1166" t="str">
            <v>4052531</v>
          </cell>
          <cell r="E1166" t="str">
            <v>线缆</v>
          </cell>
          <cell r="F1166">
            <v>2E-3</v>
          </cell>
          <cell r="G1166">
            <v>0</v>
          </cell>
        </row>
        <row r="1167">
          <cell r="B1167" t="str">
            <v>302-003428</v>
          </cell>
          <cell r="C1167" t="str">
            <v>电源电缆-062.m-黑-80A弯头快插连接器</v>
          </cell>
          <cell r="D1167" t="str">
            <v>4154104</v>
          </cell>
          <cell r="E1167" t="str">
            <v>线缆</v>
          </cell>
          <cell r="F1167">
            <v>2E-3</v>
          </cell>
          <cell r="G1167">
            <v>1903</v>
          </cell>
        </row>
        <row r="1168">
          <cell r="B1168" t="str">
            <v>302-003462</v>
          </cell>
          <cell r="C1168" t="str">
            <v>SSD ES3521AV6-960G-SATA-2.5读取HW 侧底孔1.2</v>
          </cell>
          <cell r="D1168" t="str">
            <v>03034QKW</v>
          </cell>
          <cell r="E1168" t="str">
            <v>硬盘</v>
          </cell>
          <cell r="F1168">
            <v>5.4999999999999997E-3</v>
          </cell>
          <cell r="G1168">
            <v>1114</v>
          </cell>
          <cell r="I1168" t="str">
            <v>99-001349</v>
          </cell>
        </row>
        <row r="1169">
          <cell r="B1169" t="str">
            <v>302-001044</v>
          </cell>
          <cell r="C1169" t="str">
            <v>硬盘6T-SATA 6Gb/s-7.2K-3.5无托 DZ</v>
          </cell>
          <cell r="D1169" t="str">
            <v>MG08ADA600E</v>
          </cell>
          <cell r="E1169" t="str">
            <v>硬盘</v>
          </cell>
          <cell r="F1169">
            <v>5.4999999999999997E-3</v>
          </cell>
          <cell r="G1169">
            <v>240</v>
          </cell>
          <cell r="I1169" t="str">
            <v>99-000646</v>
          </cell>
        </row>
        <row r="1170">
          <cell r="B1170" t="str">
            <v>302-000362</v>
          </cell>
          <cell r="C1170" t="str">
            <v>硬盘14T-SATA 6Gb/s-7.2K-3.5托</v>
          </cell>
          <cell r="D1170">
            <v>2540008</v>
          </cell>
          <cell r="E1170" t="str">
            <v>硬盘</v>
          </cell>
          <cell r="F1170">
            <v>5.4999999999999997E-3</v>
          </cell>
          <cell r="G1170">
            <v>0</v>
          </cell>
          <cell r="I1170" t="str">
            <v>99-001013</v>
          </cell>
        </row>
        <row r="1171">
          <cell r="B1171" t="str">
            <v>302-003066</v>
          </cell>
          <cell r="C1171" t="str">
            <v>NVMeSSD UH831a-1.6TB-PCIe4-2.5读写YL-K</v>
          </cell>
          <cell r="D1171" t="str">
            <v>RP2A41T6RK004VX</v>
          </cell>
          <cell r="E1171" t="str">
            <v>硬盘</v>
          </cell>
          <cell r="F1171">
            <v>5.4999999999999997E-3</v>
          </cell>
          <cell r="G1171">
            <v>0</v>
          </cell>
          <cell r="I1171" t="str">
            <v>99-002081</v>
          </cell>
        </row>
        <row r="1172">
          <cell r="B1172" t="str">
            <v>302-000292</v>
          </cell>
          <cell r="C1172" t="str">
            <v>PCIE提升卡-BC82PRUB</v>
          </cell>
          <cell r="D1172" t="str">
            <v>03025VYL</v>
          </cell>
          <cell r="E1172" t="str">
            <v>Riser模组</v>
          </cell>
          <cell r="F1172">
            <v>5.0000000000000001E-3</v>
          </cell>
          <cell r="G1172">
            <v>1686</v>
          </cell>
          <cell r="I1172" t="str">
            <v>99-001770</v>
          </cell>
        </row>
        <row r="1173">
          <cell r="B1173" t="str">
            <v>302-003156</v>
          </cell>
          <cell r="C1173" t="str">
            <v>RAID标卡 SP686C-16i-PCIe-2GB Cache-HW</v>
          </cell>
          <cell r="D1173" t="str">
            <v>02560120</v>
          </cell>
          <cell r="E1173" t="str">
            <v>RAID卡</v>
          </cell>
          <cell r="F1173">
            <v>7.7999999999999996E-3</v>
          </cell>
          <cell r="G1173">
            <v>125</v>
          </cell>
          <cell r="I1173" t="str">
            <v>99-003397</v>
          </cell>
        </row>
        <row r="1174">
          <cell r="B1174" t="str">
            <v>302-003303</v>
          </cell>
          <cell r="C1174" t="str">
            <v>网卡HP380 25G双口SFP28(Mellanox CX-4) Lx无光模块</v>
          </cell>
          <cell r="D1174" t="str">
            <v>02570210</v>
          </cell>
          <cell r="E1174" t="str">
            <v>网卡</v>
          </cell>
          <cell r="F1174">
            <v>5.7999999999999996E-3</v>
          </cell>
          <cell r="G1174">
            <v>4663</v>
          </cell>
          <cell r="I1174" t="str">
            <v>99-003303</v>
          </cell>
        </row>
        <row r="1175">
          <cell r="B1175" t="str">
            <v>302-003457</v>
          </cell>
          <cell r="C1175" t="str">
            <v>制成板-S920X08-5250-4B模组（KP920 48C 64G）</v>
          </cell>
          <cell r="D1175">
            <v>302041498</v>
          </cell>
          <cell r="E1175" t="str">
            <v>机箱/硬盘背板</v>
          </cell>
          <cell r="F1175">
            <v>2.8999999999999998E-3</v>
          </cell>
          <cell r="G1175">
            <v>0</v>
          </cell>
        </row>
        <row r="1176">
          <cell r="B1176" t="str">
            <v>302-003566</v>
          </cell>
          <cell r="C1176" t="str">
            <v>RAID扣卡 SR430C(LSI3108)-2GB</v>
          </cell>
          <cell r="D1176" t="str">
            <v>02311UPE</v>
          </cell>
          <cell r="E1176" t="str">
            <v>RAID卡</v>
          </cell>
          <cell r="F1176">
            <v>7.7999999999999996E-3</v>
          </cell>
          <cell r="G1176">
            <v>0</v>
          </cell>
          <cell r="I1176" t="str">
            <v>99-000686</v>
          </cell>
        </row>
        <row r="1177">
          <cell r="B1177" t="str">
            <v>302-003338</v>
          </cell>
          <cell r="C1177" t="str">
            <v>光模块-QSFP28-850nm-100G-TRC</v>
          </cell>
          <cell r="D1177" t="str">
            <v>NA-188</v>
          </cell>
          <cell r="E1177" t="str">
            <v>光模块</v>
          </cell>
          <cell r="F1177">
            <v>4.1999999999999997E-3</v>
          </cell>
          <cell r="G1177">
            <v>367</v>
          </cell>
          <cell r="I1177" t="str">
            <v>99-003338</v>
          </cell>
        </row>
        <row r="1178">
          <cell r="B1178" t="str">
            <v>302-003539</v>
          </cell>
          <cell r="C1178" t="str">
            <v>NVMeSSD ES3600PV6-3.2TB-PCIe4-2.5读写HWCC1</v>
          </cell>
          <cell r="D1178" t="str">
            <v>02356EMR</v>
          </cell>
          <cell r="E1178" t="str">
            <v>硬盘</v>
          </cell>
          <cell r="F1178">
            <v>5.4999999999999997E-3</v>
          </cell>
          <cell r="G1178">
            <v>0</v>
          </cell>
          <cell r="I1178" t="str">
            <v>99-003875</v>
          </cell>
        </row>
        <row r="1179">
          <cell r="B1179" t="str">
            <v>302-002939</v>
          </cell>
          <cell r="C1179" t="str">
            <v>SSD DTS510S00-3.84TB-SATA 6Gb-2.5-读取 DT</v>
          </cell>
          <cell r="D1179" t="str">
            <v>J03T8SBLT3CACDED59</v>
          </cell>
          <cell r="E1179" t="str">
            <v>硬盘</v>
          </cell>
          <cell r="F1179">
            <v>5.4999999999999997E-3</v>
          </cell>
          <cell r="G1179">
            <v>256</v>
          </cell>
        </row>
        <row r="1180">
          <cell r="B1180" t="str">
            <v>302-000788</v>
          </cell>
          <cell r="C1180" t="str">
            <v>网卡 MCX4121A-ACUT 25G双口SFP28</v>
          </cell>
          <cell r="D1180" t="str">
            <v>MCX4121A-ACUT</v>
          </cell>
          <cell r="E1180" t="str">
            <v>网卡</v>
          </cell>
          <cell r="F1180">
            <v>5.7999999999999996E-3</v>
          </cell>
          <cell r="G1180">
            <v>6962</v>
          </cell>
        </row>
        <row r="1181">
          <cell r="B1181" t="str">
            <v>302-003347</v>
          </cell>
          <cell r="C1181" t="str">
            <v>内存DDR4-32G-2933-2Rx4 NY</v>
          </cell>
          <cell r="D1181" t="str">
            <v>NT32GA72D4NBX3P-IX</v>
          </cell>
          <cell r="E1181" t="str">
            <v>内存</v>
          </cell>
          <cell r="F1181">
            <v>2E-3</v>
          </cell>
          <cell r="G1181">
            <v>274</v>
          </cell>
        </row>
        <row r="1182">
          <cell r="B1182" t="str">
            <v>302-002553</v>
          </cell>
          <cell r="C1182" t="str">
            <v>NVMeSSD J5110-7.68T-AIC-PCIe4-读取DPW</v>
          </cell>
          <cell r="D1182" t="str">
            <v>DPJD4208T0</v>
          </cell>
          <cell r="E1182" t="str">
            <v>硬盘</v>
          </cell>
          <cell r="F1182">
            <v>5.4999999999999997E-3</v>
          </cell>
          <cell r="G1182">
            <v>3</v>
          </cell>
        </row>
        <row r="1183">
          <cell r="B1183" t="str">
            <v>302-003554</v>
          </cell>
          <cell r="C1183" t="str">
            <v>SSD DSS200-B K5-480G-SATA2.5读取DT-[AVAP]</v>
          </cell>
          <cell r="D1183" t="str">
            <v>无-12</v>
          </cell>
          <cell r="E1183" t="str">
            <v>硬盘</v>
          </cell>
          <cell r="F1183">
            <v>5.4999999999999997E-3</v>
          </cell>
          <cell r="G1183">
            <v>982</v>
          </cell>
          <cell r="I1183" t="str">
            <v>99-003525</v>
          </cell>
        </row>
        <row r="1184">
          <cell r="B1184" t="str">
            <v>302-003552</v>
          </cell>
          <cell r="C1184" t="str">
            <v>SSD DSS200-B K5-1.92T-SATA2.5读取DT-[AVAP]</v>
          </cell>
          <cell r="D1184" t="str">
            <v>无-10</v>
          </cell>
          <cell r="E1184" t="str">
            <v>硬盘</v>
          </cell>
          <cell r="F1184">
            <v>5.4999999999999997E-3</v>
          </cell>
          <cell r="G1184">
            <v>990</v>
          </cell>
          <cell r="I1184" t="str">
            <v>99-003647</v>
          </cell>
        </row>
        <row r="1185">
          <cell r="B1185" t="str">
            <v>302-003559</v>
          </cell>
          <cell r="C1185" t="str">
            <v>SSD-3.84T-SATA 6Gb-2.5-读取-JBL-from HW</v>
          </cell>
          <cell r="D1185">
            <v>2551001</v>
          </cell>
          <cell r="E1185" t="str">
            <v>硬盘</v>
          </cell>
          <cell r="F1185">
            <v>5.4999999999999997E-3</v>
          </cell>
          <cell r="G1185">
            <v>2340</v>
          </cell>
          <cell r="I1185" t="str">
            <v>99-003030</v>
          </cell>
        </row>
        <row r="1186">
          <cell r="B1186" t="str">
            <v>301-000013</v>
          </cell>
          <cell r="C1186" t="str">
            <v>有线鼠标 XWT</v>
          </cell>
          <cell r="D1186" t="str">
            <v>NA</v>
          </cell>
          <cell r="E1186" t="str">
            <v>鼠标</v>
          </cell>
          <cell r="F1186">
            <v>6.0000000000000001E-3</v>
          </cell>
          <cell r="G1186">
            <v>48</v>
          </cell>
        </row>
        <row r="1187">
          <cell r="B1187" t="str">
            <v>301-000021</v>
          </cell>
          <cell r="C1187" t="str">
            <v>显示器/23.8寸/VA/FHD/V+H+D/内置/V13/HK</v>
          </cell>
          <cell r="D1187" t="str">
            <v>X2401WFSHD00A</v>
          </cell>
          <cell r="E1187" t="str">
            <v>显示器</v>
          </cell>
          <cell r="F1187">
            <v>1.4999999999999999E-2</v>
          </cell>
          <cell r="G1187">
            <v>56</v>
          </cell>
          <cell r="I1187" t="str">
            <v>77-000021</v>
          </cell>
        </row>
        <row r="1188">
          <cell r="B1188" t="str">
            <v>301-000038</v>
          </cell>
          <cell r="C1188" t="str">
            <v>有线键盘 线长1.8m KM2329 XY</v>
          </cell>
          <cell r="D1188" t="str">
            <v>KM2329</v>
          </cell>
          <cell r="E1188" t="str">
            <v>键盘</v>
          </cell>
          <cell r="F1188">
            <v>6.0000000000000001E-3</v>
          </cell>
          <cell r="G1188">
            <v>48</v>
          </cell>
        </row>
        <row r="1189">
          <cell r="B1189" t="str">
            <v>302-003397</v>
          </cell>
          <cell r="C1189" t="str">
            <v>RAID标卡SP686C-16i-2GB-PCIe4.0x8-FHHL HW</v>
          </cell>
          <cell r="D1189" t="str">
            <v>02313XXF</v>
          </cell>
          <cell r="E1189" t="str">
            <v>RAID卡</v>
          </cell>
          <cell r="F1189">
            <v>7.7999999999999996E-3</v>
          </cell>
          <cell r="G1189">
            <v>10</v>
          </cell>
          <cell r="I1189" t="str">
            <v>99-003397</v>
          </cell>
        </row>
        <row r="1190">
          <cell r="B1190" t="str">
            <v>302-002842</v>
          </cell>
          <cell r="C1190" t="str">
            <v>Atlas 300 Duo 推理卡双卡（附Riser1&amp;2模组 FHFL）</v>
          </cell>
          <cell r="D1190" t="str">
            <v>02314NBK</v>
          </cell>
          <cell r="E1190" t="str">
            <v>AI推理卡</v>
          </cell>
          <cell r="F1190">
            <v>6.3E-3</v>
          </cell>
          <cell r="G1190">
            <v>7</v>
          </cell>
        </row>
        <row r="1191">
          <cell r="B1191" t="str">
            <v>302-002097</v>
          </cell>
          <cell r="C1191" t="str">
            <v>SSD ES3521AV6-1920G-SATA-6G-2.5读取HW V1.1</v>
          </cell>
          <cell r="D1191" t="str">
            <v>02550267</v>
          </cell>
          <cell r="E1191" t="str">
            <v>硬盘</v>
          </cell>
          <cell r="F1191">
            <v>5.4999999999999997E-3</v>
          </cell>
          <cell r="G1191">
            <v>0</v>
          </cell>
          <cell r="I1191" t="str">
            <v>99-001354</v>
          </cell>
        </row>
        <row r="1192">
          <cell r="B1192" t="str">
            <v>302-002844</v>
          </cell>
          <cell r="C1192" t="str">
            <v>NVMeSSD D7456-3.2T-U.2 PCIe4-2.5 读写DERA</v>
          </cell>
          <cell r="D1192" t="str">
            <v>DERAP44YGM03T2US</v>
          </cell>
          <cell r="E1192" t="str">
            <v>硬盘</v>
          </cell>
          <cell r="F1192">
            <v>5.4999999999999997E-3</v>
          </cell>
          <cell r="G1192">
            <v>149</v>
          </cell>
        </row>
        <row r="1193">
          <cell r="B1193" t="str">
            <v>302-003542</v>
          </cell>
          <cell r="C1193" t="str">
            <v>NVMeSSD ES3500PV6-3.84T-PCIe4-2.5读取HWCC1</v>
          </cell>
          <cell r="D1193" t="str">
            <v>02356EMP</v>
          </cell>
          <cell r="E1193" t="str">
            <v>硬盘</v>
          </cell>
          <cell r="F1193">
            <v>5.4999999999999997E-3</v>
          </cell>
          <cell r="G1193">
            <v>1780</v>
          </cell>
          <cell r="I1193" t="str">
            <v>99-003404</v>
          </cell>
        </row>
        <row r="1194">
          <cell r="B1194" t="str">
            <v>302-001572</v>
          </cell>
          <cell r="C1194" t="str">
            <v>2*16X SLOT (PCIE X16, X8) RISER1&amp;2模组</v>
          </cell>
          <cell r="D1194" t="str">
            <v>02312QGG</v>
          </cell>
          <cell r="E1194" t="str">
            <v>Riser模组</v>
          </cell>
          <cell r="F1194">
            <v>5.0000000000000001E-3</v>
          </cell>
          <cell r="G1194">
            <v>557</v>
          </cell>
          <cell r="I1194" t="str">
            <v>99-000148</v>
          </cell>
        </row>
        <row r="1195">
          <cell r="B1195" t="str">
            <v>302-001766</v>
          </cell>
          <cell r="C1195" t="str">
            <v>Riser3模组 1*16X SLOT(PCIE X16)</v>
          </cell>
          <cell r="D1195" t="str">
            <v>02312NFX</v>
          </cell>
          <cell r="E1195" t="str">
            <v>Riser模组</v>
          </cell>
          <cell r="F1195">
            <v>5.0000000000000001E-3</v>
          </cell>
          <cell r="G1195">
            <v>0</v>
          </cell>
          <cell r="I1195" t="str">
            <v>99-000150</v>
          </cell>
        </row>
        <row r="1196">
          <cell r="B1196" t="str">
            <v>302-001765</v>
          </cell>
          <cell r="C1196" t="str">
            <v>2*2.5"后置硬盘背板+16X(X8)Riser1模组-SAS Riser专用</v>
          </cell>
          <cell r="D1196" t="str">
            <v>02312NFJ</v>
          </cell>
          <cell r="E1196" t="str">
            <v>Riser模组</v>
          </cell>
          <cell r="F1196">
            <v>5.0000000000000001E-3</v>
          </cell>
          <cell r="G1196">
            <v>0</v>
          </cell>
          <cell r="I1196" t="str">
            <v>99-000151</v>
          </cell>
        </row>
        <row r="1197">
          <cell r="B1197" t="str">
            <v>302-000869</v>
          </cell>
          <cell r="C1197" t="str">
            <v>2*2.5"后置硬盘背板组件-A722</v>
          </cell>
          <cell r="D1197" t="str">
            <v>02312NFY</v>
          </cell>
          <cell r="E1197" t="str">
            <v>后置硬盘背板</v>
          </cell>
          <cell r="F1197">
            <v>2.8999999999999998E-3</v>
          </cell>
          <cell r="G1197">
            <v>741</v>
          </cell>
          <cell r="I1197" t="str">
            <v>99-000143</v>
          </cell>
        </row>
        <row r="1198">
          <cell r="B1198" t="str">
            <v>302-000871</v>
          </cell>
          <cell r="C1198" t="str">
            <v>2*3.5"后置硬盘背板组件-A722</v>
          </cell>
          <cell r="D1198" t="str">
            <v>02312NGA</v>
          </cell>
          <cell r="E1198" t="str">
            <v>后置硬盘背板</v>
          </cell>
          <cell r="F1198">
            <v>2.8999999999999998E-3</v>
          </cell>
          <cell r="G1198">
            <v>0</v>
          </cell>
          <cell r="I1198" t="str">
            <v>99-000144</v>
          </cell>
        </row>
        <row r="1199">
          <cell r="B1199" t="str">
            <v>302-003522</v>
          </cell>
          <cell r="C1199" t="str">
            <v>光模块-40G-QSFP+-多模-850nm-300m-LC-TRC</v>
          </cell>
          <cell r="D1199" t="str">
            <v>NA-285</v>
          </cell>
          <cell r="E1199" t="str">
            <v>光模块</v>
          </cell>
          <cell r="F1199">
            <v>4.1999999999999997E-3</v>
          </cell>
          <cell r="G1199">
            <v>58</v>
          </cell>
        </row>
        <row r="1200">
          <cell r="B1200" t="str">
            <v>302-001636</v>
          </cell>
          <cell r="C1200" t="str">
            <v>SSD SDHKD-UE读写-3.2TB-NVMe 2.5无托U.2</v>
          </cell>
          <cell r="D1200" t="str">
            <v>SDHKD-UE3200</v>
          </cell>
          <cell r="E1200" t="str">
            <v>硬盘</v>
          </cell>
          <cell r="F1200">
            <v>5.4999999999999997E-3</v>
          </cell>
          <cell r="G1200">
            <v>50</v>
          </cell>
        </row>
        <row r="1201">
          <cell r="B1201" t="str">
            <v>302-002946</v>
          </cell>
          <cell r="C1201" t="str">
            <v>SSD SP861-1TB-SATA 6Gb-2.5-读密集 HLW</v>
          </cell>
          <cell r="D1201" t="str">
            <v>SS3125-R01T0T-PN00</v>
          </cell>
          <cell r="E1201" t="str">
            <v>硬盘</v>
          </cell>
          <cell r="F1201">
            <v>5.4999999999999997E-3</v>
          </cell>
          <cell r="G1201">
            <v>0</v>
          </cell>
        </row>
        <row r="1202">
          <cell r="B1202" t="str">
            <v>302-003436</v>
          </cell>
          <cell r="C1202" t="str">
            <v>NVMeSSD SDHKD-UE-1.92T-U.2 PCIe4-2.5读取YX</v>
          </cell>
          <cell r="D1202" t="str">
            <v>SDHKD-UE1920</v>
          </cell>
          <cell r="E1202" t="str">
            <v>硬盘</v>
          </cell>
          <cell r="F1202">
            <v>5.4999999999999997E-3</v>
          </cell>
          <cell r="G1202">
            <v>0</v>
          </cell>
        </row>
        <row r="1203">
          <cell r="B1203" t="str">
            <v>302-002389</v>
          </cell>
          <cell r="C1203" t="str">
            <v>网讯SF400HT 4X1G网卡</v>
          </cell>
          <cell r="D1203" t="str">
            <v>SF400HT 4X1G</v>
          </cell>
          <cell r="E1203" t="str">
            <v>网卡</v>
          </cell>
          <cell r="F1203">
            <v>5.7999999999999996E-3</v>
          </cell>
          <cell r="G1203">
            <v>2</v>
          </cell>
        </row>
        <row r="1204">
          <cell r="B1204" t="str">
            <v>302-003572</v>
          </cell>
          <cell r="C1204" t="str">
            <v>机箱 12*3.5硬盘EXP 2U1P（S920S01）</v>
          </cell>
          <cell r="D1204" t="str">
            <v>02313KWC</v>
          </cell>
          <cell r="E1204" t="str">
            <v>机箱/硬盘背板</v>
          </cell>
          <cell r="F1204">
            <v>2.8999999999999998E-3</v>
          </cell>
          <cell r="G1204">
            <v>100</v>
          </cell>
        </row>
        <row r="1205">
          <cell r="B1205" t="str">
            <v>304-000432</v>
          </cell>
          <cell r="C1205" t="str">
            <v>A924典配4U-2*2.5NVMe机箱-8*910_2</v>
          </cell>
          <cell r="D1205" t="str">
            <v>02314VDJ</v>
          </cell>
          <cell r="E1205" t="str">
            <v>L6典配</v>
          </cell>
          <cell r="F1205">
            <v>2.8999999999999998E-3</v>
          </cell>
          <cell r="G1205">
            <v>4</v>
          </cell>
        </row>
        <row r="1206">
          <cell r="B1206" t="str">
            <v>302-003563</v>
          </cell>
          <cell r="C1206" t="str">
            <v>S内存DDR4-32G-3200-2Rx8-海外</v>
          </cell>
          <cell r="D1206">
            <v>2510133</v>
          </cell>
          <cell r="E1206" t="str">
            <v>内存</v>
          </cell>
          <cell r="F1206">
            <v>2E-3</v>
          </cell>
          <cell r="G1206">
            <v>958</v>
          </cell>
          <cell r="I1206" t="str">
            <v>99-003167</v>
          </cell>
        </row>
        <row r="1207">
          <cell r="B1207" t="str">
            <v>302-003558</v>
          </cell>
          <cell r="C1207" t="str">
            <v>S920X00-7260 2*(鲲鹏920,64C,32DIMM)（海外）</v>
          </cell>
          <cell r="D1207" t="str">
            <v>03050MTM</v>
          </cell>
          <cell r="E1207" t="str">
            <v>主板</v>
          </cell>
          <cell r="F1207">
            <v>8.5000000000000006E-3</v>
          </cell>
          <cell r="G1207">
            <v>30</v>
          </cell>
        </row>
        <row r="1208">
          <cell r="B1208" t="str">
            <v>302-003012</v>
          </cell>
          <cell r="C1208" t="str">
            <v>电源电缆-0.35m&amp;0.25m-黑色-H2X4(3.0))*4</v>
          </cell>
          <cell r="D1208" t="str">
            <v>99095667</v>
          </cell>
          <cell r="E1208" t="str">
            <v>线缆</v>
          </cell>
          <cell r="F1208">
            <v>2E-3</v>
          </cell>
          <cell r="G1208">
            <v>1</v>
          </cell>
        </row>
        <row r="1209">
          <cell r="B1209" t="str">
            <v>302-002520</v>
          </cell>
          <cell r="C1209" t="str">
            <v>NVMeSSD UH811a-7.68TB-PCIe4-2.5读取YL-Y</v>
          </cell>
          <cell r="D1209" t="str">
            <v>RP2A27T6RK004LX</v>
          </cell>
          <cell r="E1209" t="str">
            <v>硬盘</v>
          </cell>
          <cell r="F1209">
            <v>5.4999999999999997E-3</v>
          </cell>
          <cell r="G1209">
            <v>638</v>
          </cell>
          <cell r="I1209" t="str">
            <v>99-002086</v>
          </cell>
        </row>
        <row r="1210">
          <cell r="B1210" t="str">
            <v>302-003649</v>
          </cell>
          <cell r="C1210" t="str">
            <v>光模块-SFP28-10G-多模(850nm,0.3km,LC)-COB-TRC</v>
          </cell>
          <cell r="D1210" t="str">
            <v>NA-304</v>
          </cell>
          <cell r="E1210" t="str">
            <v>光模块</v>
          </cell>
          <cell r="F1210">
            <v>4.1999999999999997E-3</v>
          </cell>
          <cell r="G1210">
            <v>10713</v>
          </cell>
          <cell r="I1210" t="str">
            <v>99-000381</v>
          </cell>
        </row>
        <row r="1211">
          <cell r="B1211" t="str">
            <v>302-003578</v>
          </cell>
          <cell r="C1211" t="str">
            <v>硬盘1.8T-SAS 12Gb/s-10K-XJ</v>
          </cell>
          <cell r="D1211" t="str">
            <v>NA-287</v>
          </cell>
          <cell r="E1211" t="str">
            <v>硬盘</v>
          </cell>
          <cell r="F1211">
            <v>5.4999999999999997E-3</v>
          </cell>
          <cell r="G1211">
            <v>729</v>
          </cell>
          <cell r="I1211" t="str">
            <v>99-001039</v>
          </cell>
        </row>
        <row r="1212">
          <cell r="B1212" t="str">
            <v>302-003537</v>
          </cell>
          <cell r="C1212" t="str">
            <v>NVMeSSD ES3500PV6-7.68T-PCIe4-2.5读取HWCC1</v>
          </cell>
          <cell r="D1212" t="str">
            <v>02356EMV</v>
          </cell>
          <cell r="E1212" t="str">
            <v>硬盘</v>
          </cell>
          <cell r="F1212">
            <v>5.4999999999999997E-3</v>
          </cell>
          <cell r="G1212">
            <v>331</v>
          </cell>
          <cell r="I1212" t="str">
            <v>99-003537</v>
          </cell>
        </row>
        <row r="1213">
          <cell r="B1213" t="str">
            <v>302-003543</v>
          </cell>
          <cell r="C1213" t="str">
            <v>NVMeSSD ES3500PV6-7.68T-PCIe4-2.5读取HWCC2</v>
          </cell>
          <cell r="D1213" t="str">
            <v>02356EMN</v>
          </cell>
          <cell r="E1213" t="str">
            <v>硬盘</v>
          </cell>
          <cell r="F1213">
            <v>5.4999999999999997E-3</v>
          </cell>
          <cell r="G1213">
            <v>330</v>
          </cell>
          <cell r="I1213" t="str">
            <v>99-003537</v>
          </cell>
        </row>
        <row r="1214">
          <cell r="B1214" t="str">
            <v>302-003503</v>
          </cell>
          <cell r="C1214" t="str">
            <v>SSD PM897-3.84TB-SATA 2.5读写-SX V1.1</v>
          </cell>
          <cell r="D1214" t="str">
            <v>MZ7L33T8HBNA-00B7C</v>
          </cell>
          <cell r="E1214" t="str">
            <v>硬盘</v>
          </cell>
          <cell r="F1214">
            <v>5.4999999999999997E-3</v>
          </cell>
          <cell r="G1214">
            <v>516</v>
          </cell>
          <cell r="I1214" t="str">
            <v>99-000864</v>
          </cell>
        </row>
        <row r="1215">
          <cell r="B1215" t="str">
            <v>301-000023</v>
          </cell>
          <cell r="C1215" t="str">
            <v>显示器/23.8寸/IPS/FHD/V+H+D/内置/V13/HK</v>
          </cell>
          <cell r="D1215" t="str">
            <v>X2401WFSHD00A-3</v>
          </cell>
          <cell r="E1215" t="str">
            <v>显示器</v>
          </cell>
          <cell r="F1215">
            <v>1.4999999999999999E-2</v>
          </cell>
          <cell r="G1215">
            <v>16</v>
          </cell>
          <cell r="I1215" t="str">
            <v>77-000021</v>
          </cell>
        </row>
        <row r="1216">
          <cell r="B1216" t="str">
            <v>302-001242</v>
          </cell>
          <cell r="C1216" t="str">
            <v>S硬盘10T-3.5SATA-6G7.2K-256M-XS V1.1</v>
          </cell>
          <cell r="D1216" t="str">
            <v>HUH721010ALE600/0F27627</v>
          </cell>
          <cell r="E1216" t="str">
            <v>硬盘</v>
          </cell>
          <cell r="F1216">
            <v>5.4999999999999997E-3</v>
          </cell>
          <cell r="G1216">
            <v>0</v>
          </cell>
          <cell r="I1216" t="str">
            <v>99-001042</v>
          </cell>
        </row>
        <row r="1217">
          <cell r="B1217" t="str">
            <v>302-003630</v>
          </cell>
          <cell r="C1217" t="str">
            <v>310P宽温芯片/02315ABM-功能模块-Atlas 200I SoC A1-IT21MPDA15参考设计</v>
          </cell>
          <cell r="D1217" t="str">
            <v>02315ABM</v>
          </cell>
          <cell r="E1217" t="str">
            <v>其他部件</v>
          </cell>
          <cell r="F1217">
            <v>3.0999999999999999E-3</v>
          </cell>
          <cell r="G1217">
            <v>10269</v>
          </cell>
        </row>
        <row r="1218">
          <cell r="B1218" t="str">
            <v>302-003545</v>
          </cell>
          <cell r="C1218" t="str">
            <v>NVMeSSD ES3500PV6-3.84T-PCIe4-2.5读取HWCC2</v>
          </cell>
          <cell r="D1218" t="str">
            <v>02356EMS</v>
          </cell>
          <cell r="E1218" t="str">
            <v>硬盘</v>
          </cell>
          <cell r="F1218">
            <v>5.4999999999999997E-3</v>
          </cell>
          <cell r="G1218">
            <v>1600</v>
          </cell>
          <cell r="I1218" t="str">
            <v>99-003404</v>
          </cell>
        </row>
        <row r="1219">
          <cell r="B1219" t="str">
            <v>302-003642</v>
          </cell>
          <cell r="C1219" t="str">
            <v>SSD ES3521AV6-1.92T-SATA-6G-2.5读取HW V1.4</v>
          </cell>
          <cell r="D1219">
            <v>2551064</v>
          </cell>
          <cell r="E1219" t="str">
            <v>硬盘</v>
          </cell>
          <cell r="F1219">
            <v>5.4999999999999997E-3</v>
          </cell>
          <cell r="G1219">
            <v>2130</v>
          </cell>
          <cell r="I1219" t="str">
            <v>99-001354</v>
          </cell>
        </row>
        <row r="1220">
          <cell r="B1220" t="str">
            <v>304-000454</v>
          </cell>
          <cell r="C1220" t="str">
            <v>A924典配4SATA+6NVMe-4*920 2.6G-910_4-HCCS</v>
          </cell>
          <cell r="D1220" t="str">
            <v>02314UHD</v>
          </cell>
          <cell r="E1220" t="str">
            <v>L6典配</v>
          </cell>
          <cell r="F1220">
            <v>2.8999999999999998E-3</v>
          </cell>
          <cell r="G1220">
            <v>1</v>
          </cell>
        </row>
        <row r="1221">
          <cell r="B1221" t="str">
            <v>302-002905</v>
          </cell>
          <cell r="C1221" t="str">
            <v>RAID标卡SP686C-16i-4GB-PCIe4.0x8 HW（无挡片）</v>
          </cell>
          <cell r="D1221" t="str">
            <v>02313XXG</v>
          </cell>
          <cell r="E1221" t="str">
            <v>RAID卡</v>
          </cell>
          <cell r="F1221">
            <v>7.7999999999999996E-3</v>
          </cell>
          <cell r="G1221">
            <v>532</v>
          </cell>
          <cell r="I1221" t="str">
            <v>99-003134</v>
          </cell>
        </row>
        <row r="1222">
          <cell r="B1222" t="str">
            <v>302-000004</v>
          </cell>
          <cell r="C1222" t="str">
            <v>S主板 S920X01-5250 1*920,48C</v>
          </cell>
          <cell r="D1222" t="str">
            <v>03027YTN</v>
          </cell>
          <cell r="E1222" t="str">
            <v>主板</v>
          </cell>
          <cell r="F1222">
            <v>8.5000000000000006E-3</v>
          </cell>
          <cell r="G1222">
            <v>0</v>
          </cell>
          <cell r="I1222" t="str">
            <v>99-000709</v>
          </cell>
        </row>
        <row r="1223">
          <cell r="B1223" t="str">
            <v>302-002293</v>
          </cell>
          <cell r="C1223" t="str">
            <v>XGIGA光模块-SFP+-10G-多模850nm,0.3km,LC</v>
          </cell>
          <cell r="D1223" t="str">
            <v>XP-8596-02D</v>
          </cell>
          <cell r="E1223" t="str">
            <v>光模块</v>
          </cell>
          <cell r="F1223">
            <v>4.1999999999999997E-3</v>
          </cell>
          <cell r="G1223">
            <v>8</v>
          </cell>
          <cell r="I1223" t="str">
            <v>99-000381</v>
          </cell>
        </row>
        <row r="1224">
          <cell r="B1224" t="str">
            <v>909-000009</v>
          </cell>
          <cell r="C1224" t="str">
            <v>前排NPU芯片到后排NPU芯片之间连线。0.42M</v>
          </cell>
          <cell r="D1224">
            <v>99095368</v>
          </cell>
          <cell r="E1224" t="str">
            <v>线缆</v>
          </cell>
          <cell r="F1224">
            <v>2E-3</v>
          </cell>
          <cell r="G1224">
            <v>0</v>
          </cell>
          <cell r="I1224" t="str">
            <v>99-003771</v>
          </cell>
        </row>
        <row r="1225">
          <cell r="B1225" t="str">
            <v>302-002441</v>
          </cell>
          <cell r="C1225" t="str">
            <v>S内存DDR4-16G-2933-1Rx4-RD HLS V1.1</v>
          </cell>
          <cell r="D1225">
            <v>2510004</v>
          </cell>
          <cell r="E1225" t="str">
            <v>内存</v>
          </cell>
          <cell r="F1225">
            <v>2E-3</v>
          </cell>
          <cell r="G1225">
            <v>22</v>
          </cell>
          <cell r="I1225" t="str">
            <v>99-000542</v>
          </cell>
        </row>
        <row r="1226">
          <cell r="B1226" t="str">
            <v>302-003415</v>
          </cell>
          <cell r="C1226" t="str">
            <v>Atlas 500 A2 8TB 3.5英寸硬盘仓</v>
          </cell>
          <cell r="D1226" t="str">
            <v>02314LUB</v>
          </cell>
          <cell r="E1226" t="str">
            <v>硬盘</v>
          </cell>
          <cell r="F1226">
            <v>5.4999999999999997E-3</v>
          </cell>
          <cell r="G1226">
            <v>2</v>
          </cell>
        </row>
        <row r="1227">
          <cell r="B1227" t="str">
            <v>302-000378</v>
          </cell>
          <cell r="C1227" t="str">
            <v>XGIGA光模块-SFP+-10G-单模1310nm,10km,LC</v>
          </cell>
          <cell r="D1227" t="str">
            <v>XP-1396-10D</v>
          </cell>
          <cell r="E1227" t="str">
            <v>光模块</v>
          </cell>
          <cell r="F1227">
            <v>4.1999999999999997E-3</v>
          </cell>
          <cell r="G1227">
            <v>120</v>
          </cell>
          <cell r="I1227" t="str">
            <v>99-000175</v>
          </cell>
        </row>
        <row r="1228">
          <cell r="B1228" t="str">
            <v>302-002364</v>
          </cell>
          <cell r="C1228" t="str">
            <v>海外-S电源线墙插国标-PI直公-C13直母-250V10A-3m黑交流-LJ</v>
          </cell>
          <cell r="D1228">
            <v>4041104</v>
          </cell>
          <cell r="E1228" t="str">
            <v>电源线</v>
          </cell>
          <cell r="F1228">
            <v>2E-3</v>
          </cell>
          <cell r="G1228">
            <v>0</v>
          </cell>
          <cell r="I1228" t="str">
            <v>99-000247</v>
          </cell>
        </row>
        <row r="1229">
          <cell r="B1229" t="str">
            <v>302-002362</v>
          </cell>
          <cell r="C1229" t="str">
            <v>S电源线PDU国标-C14直公-C13直母-250V10A-1.5m黑交流-LJ</v>
          </cell>
          <cell r="D1229" t="str">
            <v>04050188</v>
          </cell>
          <cell r="E1229" t="str">
            <v>电源线</v>
          </cell>
          <cell r="F1229">
            <v>2E-3</v>
          </cell>
          <cell r="G1229">
            <v>0</v>
          </cell>
          <cell r="I1229" t="str">
            <v>99-000248</v>
          </cell>
        </row>
        <row r="1230">
          <cell r="B1230" t="str">
            <v>302-002292</v>
          </cell>
          <cell r="C1230" t="str">
            <v>XGIGA光模块-SFP28-25G多模850nm,0.1km,LC</v>
          </cell>
          <cell r="D1230" t="str">
            <v>XP-85B1-02D-1</v>
          </cell>
          <cell r="E1230" t="str">
            <v>光模块</v>
          </cell>
          <cell r="F1230">
            <v>4.1999999999999997E-3</v>
          </cell>
          <cell r="G1230">
            <v>8</v>
          </cell>
          <cell r="I1230" t="str">
            <v>99-000380</v>
          </cell>
        </row>
        <row r="1231">
          <cell r="B1231" t="str">
            <v>302-002976</v>
          </cell>
          <cell r="C1231" t="str">
            <v>S电源线欧标-PF弯公-C19直母-250V16A-3M黑</v>
          </cell>
          <cell r="D1231" t="str">
            <v>04044598</v>
          </cell>
          <cell r="E1231" t="str">
            <v>电源线</v>
          </cell>
          <cell r="F1231">
            <v>2E-3</v>
          </cell>
          <cell r="G1231">
            <v>8</v>
          </cell>
        </row>
        <row r="1232">
          <cell r="B1232" t="str">
            <v>302-003246</v>
          </cell>
          <cell r="C1232" t="str">
            <v>Atlas 500 A2智能小站带盘整机-20T-12GB内存(白牌）</v>
          </cell>
          <cell r="D1232" t="str">
            <v>02314NMV</v>
          </cell>
          <cell r="E1232" t="str">
            <v>内存</v>
          </cell>
          <cell r="F1232">
            <v>2E-3</v>
          </cell>
          <cell r="G1232">
            <v>2</v>
          </cell>
        </row>
        <row r="1233">
          <cell r="B1233" t="str">
            <v>302-003264</v>
          </cell>
          <cell r="C1233" t="str">
            <v>Atlas 500 A2智能小站 5G无线模块</v>
          </cell>
          <cell r="D1233" t="str">
            <v>39220073</v>
          </cell>
          <cell r="E1233" t="str">
            <v>光模块</v>
          </cell>
          <cell r="F1233">
            <v>4.1999999999999997E-3</v>
          </cell>
          <cell r="G1233">
            <v>2</v>
          </cell>
        </row>
        <row r="1234">
          <cell r="B1234" t="str">
            <v>302-003267</v>
          </cell>
          <cell r="C1234" t="str">
            <v>Atlas 500 A2智能小站 5G无线模块-射频电缆组件</v>
          </cell>
          <cell r="D1234" t="str">
            <v>04133532-001</v>
          </cell>
          <cell r="E1234" t="str">
            <v>线缆</v>
          </cell>
          <cell r="F1234">
            <v>2E-3</v>
          </cell>
          <cell r="G1234">
            <v>8</v>
          </cell>
        </row>
        <row r="1235">
          <cell r="B1235" t="str">
            <v>302-003450</v>
          </cell>
          <cell r="C1235" t="str">
            <v>Atlas 500 A2智能小站 5G模块配套磁吸天线-附件1</v>
          </cell>
          <cell r="D1235" t="str">
            <v>27013849</v>
          </cell>
          <cell r="E1235" t="str">
            <v>线缆</v>
          </cell>
          <cell r="F1235">
            <v>2E-3</v>
          </cell>
          <cell r="G1235">
            <v>2</v>
          </cell>
        </row>
        <row r="1236">
          <cell r="B1236" t="str">
            <v>302-003453</v>
          </cell>
          <cell r="C1236" t="str">
            <v>Atlas 500 A2智能小站 5G模块配套磁吸天线-附件2</v>
          </cell>
          <cell r="D1236" t="str">
            <v>04133435</v>
          </cell>
          <cell r="E1236" t="str">
            <v>线缆</v>
          </cell>
          <cell r="F1236">
            <v>2E-3</v>
          </cell>
          <cell r="G1236">
            <v>8</v>
          </cell>
        </row>
        <row r="1237">
          <cell r="B1237" t="str">
            <v>302-003643</v>
          </cell>
          <cell r="C1237" t="str">
            <v>SSD ES3521AV6-480G-SATA-2.5读取HW 侧底孔1.4</v>
          </cell>
          <cell r="D1237" t="str">
            <v>02551062</v>
          </cell>
          <cell r="E1237" t="str">
            <v>硬盘</v>
          </cell>
          <cell r="F1237">
            <v>5.4999999999999997E-3</v>
          </cell>
          <cell r="G1237">
            <v>6268</v>
          </cell>
          <cell r="I1237" t="str">
            <v>99-001346</v>
          </cell>
        </row>
        <row r="1238">
          <cell r="B1238" t="str">
            <v>302-003060</v>
          </cell>
          <cell r="C1238" t="str">
            <v>NVMeSSD P5520-3.84T-U.2 Pcie4 2.5读取Intel</v>
          </cell>
          <cell r="D1238" t="str">
            <v>SSDPF2KX038T1</v>
          </cell>
          <cell r="E1238" t="str">
            <v>硬盘</v>
          </cell>
          <cell r="F1238">
            <v>5.4999999999999997E-3</v>
          </cell>
          <cell r="G1238">
            <v>4016</v>
          </cell>
          <cell r="I1238" t="str">
            <v>99-003060</v>
          </cell>
        </row>
        <row r="1239">
          <cell r="B1239" t="str">
            <v>302-003656</v>
          </cell>
          <cell r="C1239" t="str">
            <v>光模块-SFP28-25G-多模(850nm,0.1km,LC）V1.1-HW</v>
          </cell>
          <cell r="D1239" t="str">
            <v>34061254-001</v>
          </cell>
          <cell r="E1239" t="str">
            <v>光模块</v>
          </cell>
          <cell r="F1239">
            <v>4.1999999999999997E-3</v>
          </cell>
          <cell r="G1239">
            <v>0</v>
          </cell>
          <cell r="I1239" t="str">
            <v>99-000380</v>
          </cell>
        </row>
        <row r="1240">
          <cell r="B1240" t="str">
            <v>302-003769</v>
          </cell>
          <cell r="C1240" t="str">
            <v>S硬盘20T-3.5SATA-6G7.2K-256M-HW-V1.0-XJ</v>
          </cell>
          <cell r="D1240" t="str">
            <v>02540272</v>
          </cell>
          <cell r="E1240" t="str">
            <v>硬盘</v>
          </cell>
          <cell r="F1240">
            <v>5.4999999999999997E-3</v>
          </cell>
          <cell r="G1240">
            <v>10000</v>
          </cell>
          <cell r="I1240" t="str">
            <v>99-003769</v>
          </cell>
        </row>
        <row r="1241">
          <cell r="B1241" t="str">
            <v>302-003441</v>
          </cell>
          <cell r="C1241" t="str">
            <v>S硬盘-10T-3.5SATA-6G7.2K-256M-XS</v>
          </cell>
          <cell r="D1241" t="str">
            <v>WUS721010ALE6L4</v>
          </cell>
          <cell r="E1241" t="str">
            <v>硬盘</v>
          </cell>
          <cell r="F1241">
            <v>5.4999999999999997E-3</v>
          </cell>
          <cell r="G1241">
            <v>4679</v>
          </cell>
          <cell r="I1241" t="str">
            <v>99-001042</v>
          </cell>
        </row>
        <row r="1242">
          <cell r="B1242" t="str">
            <v>302-003585</v>
          </cell>
          <cell r="C1242" t="str">
            <v>SSD-480G-SATA 6Gb-2.5-读取-JBL-from HW-1.1</v>
          </cell>
          <cell r="D1242" t="str">
            <v>02550889</v>
          </cell>
          <cell r="E1242" t="str">
            <v>硬盘</v>
          </cell>
          <cell r="F1242">
            <v>5.4999999999999997E-3</v>
          </cell>
          <cell r="G1242">
            <v>1416</v>
          </cell>
          <cell r="I1242" t="str">
            <v>99-003585</v>
          </cell>
        </row>
        <row r="1243">
          <cell r="B1243" t="str">
            <v>302-001907</v>
          </cell>
          <cell r="C1243" t="str">
            <v>S硬盘12T-3.5SATA-6G7.2K-512M-SE-无托-DZ-V1.0</v>
          </cell>
          <cell r="D1243" t="str">
            <v>MG09ACP12T</v>
          </cell>
          <cell r="E1243" t="str">
            <v>硬盘</v>
          </cell>
          <cell r="F1243">
            <v>5.4999999999999997E-3</v>
          </cell>
          <cell r="G1243">
            <v>696</v>
          </cell>
          <cell r="I1243" t="str">
            <v>99-000737</v>
          </cell>
        </row>
        <row r="1244">
          <cell r="B1244" t="str">
            <v>302-003335</v>
          </cell>
          <cell r="C1244" t="str">
            <v>内存-16G-DDR4-RDIMM-1R*4-3200MHz SX</v>
          </cell>
          <cell r="D1244" t="str">
            <v>M393A2K40EB3-CWE</v>
          </cell>
          <cell r="E1244" t="str">
            <v>内存</v>
          </cell>
          <cell r="F1244">
            <v>2E-3</v>
          </cell>
          <cell r="G1244">
            <v>1731</v>
          </cell>
        </row>
        <row r="1245">
          <cell r="B1245" t="str">
            <v>302-003502</v>
          </cell>
          <cell r="C1245" t="str">
            <v>SSD PM897-1.92TB-SATA 2.5读写-SX V1.1</v>
          </cell>
          <cell r="D1245" t="str">
            <v>MZ7L31T9HBNA-00B7C</v>
          </cell>
          <cell r="E1245" t="str">
            <v>硬盘</v>
          </cell>
          <cell r="F1245">
            <v>5.4999999999999997E-3</v>
          </cell>
          <cell r="G1245">
            <v>251</v>
          </cell>
          <cell r="I1245" t="str">
            <v>99-001400</v>
          </cell>
        </row>
        <row r="1246">
          <cell r="B1246" t="str">
            <v>302-003757</v>
          </cell>
          <cell r="C1246" t="str">
            <v>Intel网卡X520-SR2</v>
          </cell>
          <cell r="D1246" t="str">
            <v>NA-306</v>
          </cell>
          <cell r="E1246" t="str">
            <v>网卡</v>
          </cell>
          <cell r="F1246">
            <v>5.7999999999999996E-3</v>
          </cell>
          <cell r="G1246">
            <v>4</v>
          </cell>
        </row>
        <row r="1247">
          <cell r="B1247" t="str">
            <v>302-003538</v>
          </cell>
          <cell r="C1247" t="str">
            <v>NVMeSSD ES3600PV6-6.4TB-PCIe4-2.5读写HWCC1</v>
          </cell>
          <cell r="D1247" t="str">
            <v>02356EMU</v>
          </cell>
          <cell r="E1247" t="str">
            <v>硬盘</v>
          </cell>
          <cell r="F1247">
            <v>5.4999999999999997E-3</v>
          </cell>
          <cell r="G1247">
            <v>148</v>
          </cell>
          <cell r="I1247" t="str">
            <v>99-003538</v>
          </cell>
        </row>
        <row r="1248">
          <cell r="B1248" t="str">
            <v>302-003541</v>
          </cell>
          <cell r="C1248" t="str">
            <v>NVMeSSD ES3600PV6-6.4TB-PCIe4-2.5读写HWCC2</v>
          </cell>
          <cell r="D1248" t="str">
            <v>02356EMT</v>
          </cell>
          <cell r="E1248" t="str">
            <v>硬盘</v>
          </cell>
          <cell r="F1248">
            <v>5.4999999999999997E-3</v>
          </cell>
          <cell r="G1248">
            <v>0</v>
          </cell>
          <cell r="I1248" t="str">
            <v>99-003538</v>
          </cell>
        </row>
        <row r="1249">
          <cell r="B1249" t="str">
            <v>302-003407</v>
          </cell>
          <cell r="C1249" t="str">
            <v>NVMeSSD ES3600PV6-6.4TB-PCIe4-2.5读写HWCC</v>
          </cell>
          <cell r="D1249" t="str">
            <v>02356AYF</v>
          </cell>
          <cell r="E1249" t="str">
            <v>硬盘</v>
          </cell>
          <cell r="F1249">
            <v>5.4999999999999997E-3</v>
          </cell>
          <cell r="G1249">
            <v>0</v>
          </cell>
          <cell r="I1249" t="str">
            <v>99-003538</v>
          </cell>
        </row>
        <row r="1250">
          <cell r="B1250" t="str">
            <v>302-001788</v>
          </cell>
          <cell r="C1250" t="str">
            <v>SSD ES3521A V6读取-480G-SATA 2.5(3.5托) 侧孔</v>
          </cell>
          <cell r="D1250" t="str">
            <v>02550265-1</v>
          </cell>
          <cell r="E1250" t="str">
            <v>硬盘</v>
          </cell>
          <cell r="F1250">
            <v>5.4999999999999997E-3</v>
          </cell>
          <cell r="G1250">
            <v>3</v>
          </cell>
          <cell r="I1250" t="str">
            <v>99-001346</v>
          </cell>
        </row>
        <row r="1251">
          <cell r="B1251" t="str">
            <v>302-002948</v>
          </cell>
          <cell r="C1251" t="str">
            <v>SSD SP861-4TB-SATA 6Gb-2.5-读密集 HLW</v>
          </cell>
          <cell r="D1251" t="str">
            <v>SS3125-R04T0T-PN00</v>
          </cell>
          <cell r="E1251" t="str">
            <v>硬盘</v>
          </cell>
          <cell r="F1251">
            <v>5.4999999999999997E-3</v>
          </cell>
          <cell r="G1251">
            <v>78</v>
          </cell>
        </row>
        <row r="1252">
          <cell r="B1252" t="str">
            <v>302-002704</v>
          </cell>
          <cell r="C1252" t="str">
            <v>NVMeSSD P5620-6.4T-U.2-PCIe4-2.5读写 Intel</v>
          </cell>
          <cell r="D1252" t="str">
            <v>SSDPF2KE064T1</v>
          </cell>
          <cell r="E1252" t="str">
            <v>硬盘</v>
          </cell>
          <cell r="F1252">
            <v>5.4999999999999997E-3</v>
          </cell>
          <cell r="G1252">
            <v>36</v>
          </cell>
        </row>
        <row r="1253">
          <cell r="B1253" t="str">
            <v>302-002589</v>
          </cell>
          <cell r="C1253" t="str">
            <v>OCP3.0网卡,博通,光口2x10GE,N210P,支持NCSI,WOL</v>
          </cell>
          <cell r="D1253" t="str">
            <v>OCP3.0网卡博通BCM95741</v>
          </cell>
          <cell r="E1253" t="str">
            <v>网卡</v>
          </cell>
          <cell r="F1253">
            <v>5.7999999999999996E-3</v>
          </cell>
          <cell r="G1253">
            <v>9</v>
          </cell>
        </row>
        <row r="1254">
          <cell r="B1254" t="str">
            <v>309-000241</v>
          </cell>
          <cell r="C1254" t="str">
            <v>1*SSD PM9A3-3.84TB-NVMe4.0-2.5读取SX V1.0</v>
          </cell>
          <cell r="D1254" t="str">
            <v>MZQL23T8HCLS-00B7C</v>
          </cell>
          <cell r="E1254" t="str">
            <v>硬盘</v>
          </cell>
          <cell r="F1254">
            <v>5.4999999999999997E-3</v>
          </cell>
          <cell r="G1254">
            <v>0</v>
          </cell>
          <cell r="I1254" t="str">
            <v>99-002062</v>
          </cell>
        </row>
        <row r="1255">
          <cell r="B1255" t="str">
            <v>309-000242</v>
          </cell>
          <cell r="C1255" t="str">
            <v>1*SSD UH831a-6.4TB-NVMe4.0-2.5读写YL V1.0</v>
          </cell>
          <cell r="D1255" t="str">
            <v>1003-00529</v>
          </cell>
          <cell r="E1255" t="str">
            <v>硬盘</v>
          </cell>
          <cell r="F1255">
            <v>5.4999999999999997E-3</v>
          </cell>
          <cell r="G1255">
            <v>0</v>
          </cell>
          <cell r="I1255" t="str">
            <v>99-002091</v>
          </cell>
        </row>
        <row r="1256">
          <cell r="B1256" t="str">
            <v>309-000243</v>
          </cell>
          <cell r="C1256" t="str">
            <v>1*SSD PM883-480G-SATA-6G-2.5读取SX V1.0</v>
          </cell>
          <cell r="D1256" t="str">
            <v>MZ7LH480HAHQ-00005</v>
          </cell>
          <cell r="E1256" t="str">
            <v>硬盘</v>
          </cell>
          <cell r="F1256">
            <v>5.4999999999999997E-3</v>
          </cell>
          <cell r="G1256">
            <v>0</v>
          </cell>
          <cell r="I1256" t="str">
            <v>99-000750</v>
          </cell>
        </row>
        <row r="1257">
          <cell r="B1257" t="str">
            <v>309-000244</v>
          </cell>
          <cell r="C1257" t="str">
            <v>1*SSD PM883-960G-SATA-6G-2.5读取SX V1.0</v>
          </cell>
          <cell r="D1257" t="str">
            <v>MZ7LH960HAJR-00005</v>
          </cell>
          <cell r="E1257" t="str">
            <v>硬盘</v>
          </cell>
          <cell r="F1257">
            <v>5.4999999999999997E-3</v>
          </cell>
          <cell r="G1257">
            <v>0</v>
          </cell>
          <cell r="I1257" t="str">
            <v>99-001016</v>
          </cell>
        </row>
        <row r="1258">
          <cell r="B1258" t="str">
            <v>309-000245</v>
          </cell>
          <cell r="C1258" t="str">
            <v>1*S硬盘4T-3.5SATA-6G7.2K-256M-XJ V1.0</v>
          </cell>
          <cell r="D1258" t="str">
            <v>2HZ100-177</v>
          </cell>
          <cell r="E1258" t="str">
            <v>硬盘</v>
          </cell>
          <cell r="F1258">
            <v>5.4999999999999997E-3</v>
          </cell>
          <cell r="G1258">
            <v>0</v>
          </cell>
          <cell r="I1258" t="str">
            <v>99-001049</v>
          </cell>
        </row>
        <row r="1259">
          <cell r="B1259" t="str">
            <v>309-000246</v>
          </cell>
          <cell r="C1259" t="str">
            <v>1*S硬盘12T-3.5SATA-6G7.2K-256M-XJ-V1.1</v>
          </cell>
          <cell r="D1259" t="str">
            <v>2TY103-002</v>
          </cell>
          <cell r="E1259" t="str">
            <v>硬盘</v>
          </cell>
          <cell r="F1259">
            <v>5.4999999999999997E-3</v>
          </cell>
          <cell r="G1259">
            <v>0</v>
          </cell>
          <cell r="I1259" t="str">
            <v>99-000737</v>
          </cell>
        </row>
        <row r="1260">
          <cell r="B1260" t="str">
            <v>306-002753</v>
          </cell>
          <cell r="C1260" t="str">
            <v>KunTai R722 服务器</v>
          </cell>
          <cell r="D1260" t="str">
            <v>R722 服务器</v>
          </cell>
          <cell r="E1260" t="str">
            <v>服务器</v>
          </cell>
          <cell r="F1260">
            <v>2.8999999999999998E-3</v>
          </cell>
          <cell r="G1260">
            <v>0</v>
          </cell>
        </row>
        <row r="1261">
          <cell r="B1261" t="str">
            <v>302-001280</v>
          </cell>
          <cell r="C1261" t="str">
            <v>RAID标卡 9440-8i-PCIe3.0X8 no Cache</v>
          </cell>
          <cell r="D1261" t="str">
            <v>02312WSF</v>
          </cell>
          <cell r="E1261" t="str">
            <v>RAID卡</v>
          </cell>
          <cell r="F1261">
            <v>7.7999999999999996E-3</v>
          </cell>
          <cell r="G1261">
            <v>1</v>
          </cell>
          <cell r="I1261" t="str">
            <v>99-000135</v>
          </cell>
        </row>
        <row r="1262">
          <cell r="B1262" t="str">
            <v>304-000431</v>
          </cell>
          <cell r="C1262" t="str">
            <v>A924A2典配L6-2*NVMe-4*920 3.0G 8*910 4-YJ</v>
          </cell>
          <cell r="D1262" t="str">
            <v>02314UHS</v>
          </cell>
          <cell r="E1262" t="str">
            <v>L6典配</v>
          </cell>
          <cell r="F1262">
            <v>2.8999999999999998E-3</v>
          </cell>
          <cell r="G1262">
            <v>0</v>
          </cell>
        </row>
        <row r="1263">
          <cell r="B1263" t="str">
            <v>302-003584</v>
          </cell>
          <cell r="C1263" t="str">
            <v>SSD-960G-SATA 6Gb-2.5-读取-JBL-from HW-1.1</v>
          </cell>
          <cell r="D1263" t="str">
            <v>02550818</v>
          </cell>
          <cell r="E1263" t="str">
            <v>硬盘</v>
          </cell>
          <cell r="F1263">
            <v>5.4999999999999997E-3</v>
          </cell>
          <cell r="G1263">
            <v>1749</v>
          </cell>
          <cell r="I1263" t="str">
            <v>99-003584</v>
          </cell>
        </row>
        <row r="1264">
          <cell r="B1264" t="str">
            <v>302-003032</v>
          </cell>
          <cell r="C1264" t="str">
            <v>SSD-UNCIA 3836-960GB-SATA-2.5 读取 JBL</v>
          </cell>
          <cell r="D1264" t="str">
            <v>RSYE3836N-960G</v>
          </cell>
          <cell r="E1264" t="str">
            <v>硬盘</v>
          </cell>
          <cell r="F1264">
            <v>5.4999999999999997E-3</v>
          </cell>
          <cell r="G1264">
            <v>0</v>
          </cell>
          <cell r="I1264" t="str">
            <v>99-003584</v>
          </cell>
        </row>
        <row r="1265">
          <cell r="B1265" t="str">
            <v>302-003565</v>
          </cell>
          <cell r="C1265" t="str">
            <v>RAID标卡 9460-8i-4GB-PCIe</v>
          </cell>
          <cell r="D1265" t="str">
            <v>NA-286</v>
          </cell>
          <cell r="E1265" t="str">
            <v>RAID卡</v>
          </cell>
          <cell r="F1265">
            <v>7.7999999999999996E-3</v>
          </cell>
          <cell r="G1265">
            <v>858</v>
          </cell>
        </row>
        <row r="1266">
          <cell r="B1266" t="str">
            <v>302-002714</v>
          </cell>
          <cell r="C1266" t="str">
            <v>光缆组件-MPO/PC-MPO/PC-多模-2-8芯-100G</v>
          </cell>
          <cell r="D1266" t="str">
            <v>14130823</v>
          </cell>
          <cell r="E1266" t="str">
            <v>线缆</v>
          </cell>
          <cell r="F1266">
            <v>2E-3</v>
          </cell>
          <cell r="G1266">
            <v>0</v>
          </cell>
        </row>
        <row r="1267">
          <cell r="B1267" t="str">
            <v>304-000183</v>
          </cell>
          <cell r="C1267" t="str">
            <v>3*2.5"NVME 风冷机箱,4*920,8*Ascend 910 B</v>
          </cell>
          <cell r="D1267" t="str">
            <v>02314AXD</v>
          </cell>
          <cell r="E1267" t="str">
            <v>L6典配</v>
          </cell>
          <cell r="F1267">
            <v>2.8999999999999998E-3</v>
          </cell>
          <cell r="G1267">
            <v>3</v>
          </cell>
        </row>
        <row r="1268">
          <cell r="B1268" t="str">
            <v>302-003802</v>
          </cell>
          <cell r="C1268" t="str">
            <v>内部PCIe高速线缆-1.0&amp;0.65&amp;0.65&amp;0.75m</v>
          </cell>
          <cell r="D1268">
            <v>4052725</v>
          </cell>
          <cell r="E1268" t="str">
            <v>线缆</v>
          </cell>
          <cell r="F1268">
            <v>2E-3</v>
          </cell>
          <cell r="G1268">
            <v>0</v>
          </cell>
          <cell r="I1268" t="str">
            <v>99-002632</v>
          </cell>
        </row>
        <row r="1269">
          <cell r="B1269" t="str">
            <v>302-003548</v>
          </cell>
          <cell r="C1269" t="str">
            <v>网卡HP380-2*25GE-SFP28-PCIE 3.0 x8-无模-无挡片</v>
          </cell>
          <cell r="D1269">
            <v>6310349</v>
          </cell>
          <cell r="E1269" t="str">
            <v>网卡</v>
          </cell>
          <cell r="F1269">
            <v>5.7999999999999996E-3</v>
          </cell>
          <cell r="G1269">
            <v>11546</v>
          </cell>
          <cell r="I1269" t="str">
            <v>99-003303</v>
          </cell>
        </row>
        <row r="1270">
          <cell r="B1270" t="str">
            <v>302-001945</v>
          </cell>
          <cell r="C1270" t="str">
            <v>SSD ES3521AV6-480G-SATA 6Gb 2.5读取HW底孔</v>
          </cell>
          <cell r="D1270" t="str">
            <v>03034QVV</v>
          </cell>
          <cell r="E1270" t="str">
            <v>硬盘</v>
          </cell>
          <cell r="F1270">
            <v>5.4999999999999997E-3</v>
          </cell>
          <cell r="G1270">
            <v>2</v>
          </cell>
        </row>
        <row r="1271">
          <cell r="B1271" t="str">
            <v>302-003501</v>
          </cell>
          <cell r="C1271" t="str">
            <v>SSD-480G-SATA 6Gb-2.5-读取-JBL-from HW</v>
          </cell>
          <cell r="D1271" t="str">
            <v>02550890</v>
          </cell>
          <cell r="E1271" t="str">
            <v>硬盘</v>
          </cell>
          <cell r="F1271">
            <v>5.4999999999999997E-3</v>
          </cell>
          <cell r="G1271">
            <v>2364</v>
          </cell>
          <cell r="I1271" t="str">
            <v>99-003585</v>
          </cell>
        </row>
        <row r="1272">
          <cell r="B1272" t="str">
            <v>302-002391</v>
          </cell>
          <cell r="C1272" t="str">
            <v>博通N225P - 2 x 25/10GbE OCP 3.0 网卡</v>
          </cell>
          <cell r="D1272" t="str">
            <v>N225P</v>
          </cell>
          <cell r="E1272" t="str">
            <v>网卡</v>
          </cell>
          <cell r="F1272">
            <v>5.7999999999999996E-3</v>
          </cell>
          <cell r="G1272">
            <v>0</v>
          </cell>
        </row>
        <row r="1273">
          <cell r="B1273" t="str">
            <v>302-003521</v>
          </cell>
          <cell r="C1273" t="str">
            <v>网卡HP382 25G双口SFP28(CX-5) Lx无光模块-全高</v>
          </cell>
          <cell r="D1273" t="str">
            <v>02314YBC</v>
          </cell>
          <cell r="E1273" t="str">
            <v>网卡</v>
          </cell>
          <cell r="F1273">
            <v>5.7999999999999996E-3</v>
          </cell>
          <cell r="G1273">
            <v>184</v>
          </cell>
          <cell r="I1273" t="str">
            <v>99-003302</v>
          </cell>
        </row>
        <row r="1274">
          <cell r="B1274" t="str">
            <v>302-003749</v>
          </cell>
          <cell r="C1274" t="str">
            <v>riser模组-2*X16-IO1&amp;IO2DPU专用</v>
          </cell>
          <cell r="D1274" t="str">
            <v>03025VYL-1</v>
          </cell>
          <cell r="E1274" t="str">
            <v>Riser模组</v>
          </cell>
          <cell r="F1274">
            <v>5.0000000000000001E-3</v>
          </cell>
          <cell r="G1274">
            <v>0</v>
          </cell>
          <cell r="I1274" t="str">
            <v>99-001770</v>
          </cell>
        </row>
        <row r="1275">
          <cell r="B1275" t="str">
            <v>302-003772</v>
          </cell>
          <cell r="C1275" t="str">
            <v>成品板单元-Atlas 800T A2 910 module-IT21HMDC_Bin6x-910 module</v>
          </cell>
          <cell r="D1275" t="str">
            <v>03050MKA</v>
          </cell>
          <cell r="E1275" t="str">
            <v>NPU模组</v>
          </cell>
          <cell r="F1275">
            <v>6.3E-3</v>
          </cell>
          <cell r="G1275">
            <v>0</v>
          </cell>
          <cell r="I1275" t="str">
            <v>99-003772</v>
          </cell>
        </row>
        <row r="1276">
          <cell r="B1276" t="str">
            <v>302-003773</v>
          </cell>
          <cell r="C1276" t="str">
            <v>成品板单元-Atlas 800I A2-IT21SK4E-5250-AAI-Hi1620 4P服务器主板E</v>
          </cell>
          <cell r="D1276" t="str">
            <v>03050NBW</v>
          </cell>
          <cell r="E1276" t="str">
            <v>主板</v>
          </cell>
          <cell r="F1276">
            <v>8.5000000000000006E-3</v>
          </cell>
          <cell r="G1276">
            <v>0</v>
          </cell>
          <cell r="I1276" t="str">
            <v>99-003288</v>
          </cell>
        </row>
        <row r="1277">
          <cell r="B1277" t="str">
            <v>302-003771</v>
          </cell>
          <cell r="C1277" t="str">
            <v>高速板对板连接器模组-74-UBC 8X 弯式-UBC 8X 直式-400mm-0.16mm-10mm-32000MB/s-1.57mm-电缆安装型-否</v>
          </cell>
          <cell r="D1277" t="str">
            <v>14270055-005</v>
          </cell>
          <cell r="E1277" t="str">
            <v>线缆</v>
          </cell>
          <cell r="F1277">
            <v>2E-3</v>
          </cell>
          <cell r="G1277">
            <v>0</v>
          </cell>
          <cell r="I1277" t="str">
            <v>99-003771</v>
          </cell>
        </row>
        <row r="1278">
          <cell r="B1278" t="str">
            <v>302-003770</v>
          </cell>
          <cell r="C1278" t="str">
            <v>高速板对板连接器模组-74-4*LP Slimeline 直式-4*UBC 直式-400mm&amp;500mm&amp;650mm&amp;700mm-0.16mm-10mm-16000MB/s-1.57mm-电缆安装型-预折线缆束-否</v>
          </cell>
          <cell r="D1278">
            <v>14270169</v>
          </cell>
          <cell r="E1278" t="str">
            <v>线缆</v>
          </cell>
          <cell r="F1278">
            <v>2E-3</v>
          </cell>
          <cell r="G1278">
            <v>0</v>
          </cell>
          <cell r="I1278" t="str">
            <v>99-003770</v>
          </cell>
        </row>
        <row r="1279">
          <cell r="B1279" t="str">
            <v>302-003777</v>
          </cell>
          <cell r="C1279" t="str">
            <v>高速板对板连接器模组-74-4*LP Slimline  直式-5*UBC  直式-300mm&amp;350mm&amp;450mm&amp;450mm-0.16mm-10mm-16000MB/s-1.57mm-电缆安装型-预折线缆束-否</v>
          </cell>
          <cell r="D1279">
            <v>14270170</v>
          </cell>
          <cell r="E1279" t="str">
            <v>线缆</v>
          </cell>
          <cell r="F1279">
            <v>2E-3</v>
          </cell>
          <cell r="G1279">
            <v>0</v>
          </cell>
          <cell r="I1279" t="str">
            <v>99-003777</v>
          </cell>
        </row>
        <row r="1280">
          <cell r="B1280" t="str">
            <v>302-003776</v>
          </cell>
          <cell r="C1280" t="str">
            <v>高速板对板连接器模组-74-4*LP Slimeline 直式-4*UBC 直式-750mm&amp;750mm&amp;800mm&amp;900mm-0.16mm-10mm-16000MB/s-1.57mm-电缆安装型-预折线缆束-否</v>
          </cell>
          <cell r="D1280">
            <v>14270171</v>
          </cell>
          <cell r="E1280" t="str">
            <v>线缆</v>
          </cell>
          <cell r="F1280">
            <v>2E-3</v>
          </cell>
          <cell r="G1280">
            <v>0</v>
          </cell>
          <cell r="I1280" t="str">
            <v>99-003776</v>
          </cell>
        </row>
        <row r="1281">
          <cell r="B1281" t="str">
            <v>302-003775</v>
          </cell>
          <cell r="C1281" t="str">
            <v>高速板对板连接器模组-74-4*LP Slimline  直式-5*UBC  直式-300mm&amp;300mm&amp;400mm&amp;600mm-0.16mm-10mm-16000MB/s-1.57mm-电缆安装型-预折线缆束-否</v>
          </cell>
          <cell r="D1281">
            <v>14270172</v>
          </cell>
          <cell r="E1281" t="str">
            <v>线缆</v>
          </cell>
          <cell r="F1281">
            <v>2E-3</v>
          </cell>
          <cell r="G1281">
            <v>0</v>
          </cell>
          <cell r="I1281" t="str">
            <v>99-003775</v>
          </cell>
        </row>
        <row r="1282">
          <cell r="B1282" t="str">
            <v>302-003774</v>
          </cell>
          <cell r="C1282" t="str">
            <v>高速电缆-内部高速线缆-0.99&amp;0.77&amp;0.94&amp;0.78m-2*(LP Slimline X8 RA)+(Slimline X8 STR)-6*(12*(1P*31AWG+2*Drain))-2*(LP Slimline X8 RA)+2*(SAS HD RA)-Atlas</v>
          </cell>
          <cell r="D1282" t="str">
            <v>04053447</v>
          </cell>
          <cell r="E1282" t="str">
            <v>线缆</v>
          </cell>
          <cell r="F1282">
            <v>2E-3</v>
          </cell>
          <cell r="G1282">
            <v>0</v>
          </cell>
          <cell r="I1282" t="str">
            <v>99-003774</v>
          </cell>
        </row>
        <row r="1283">
          <cell r="B1283" t="str">
            <v>302-003583</v>
          </cell>
          <cell r="C1283" t="str">
            <v>SSD-1.92T-SATA 6Gb-2.5-读取JBL-from HW-1.1</v>
          </cell>
          <cell r="D1283" t="str">
            <v>02551061</v>
          </cell>
          <cell r="E1283" t="str">
            <v>硬盘</v>
          </cell>
          <cell r="F1283">
            <v>5.4999999999999997E-3</v>
          </cell>
          <cell r="G1283">
            <v>206</v>
          </cell>
        </row>
        <row r="1284">
          <cell r="B1284" t="str">
            <v>302-002303</v>
          </cell>
          <cell r="C1284" t="str">
            <v>网卡25G双口SFP28-SP380-CX-4 Lx无光模块</v>
          </cell>
          <cell r="D1284" t="str">
            <v>2570037/510601883</v>
          </cell>
          <cell r="E1284" t="str">
            <v>网卡</v>
          </cell>
          <cell r="F1284">
            <v>5.7999999999999996E-3</v>
          </cell>
          <cell r="G1284">
            <v>1</v>
          </cell>
          <cell r="I1284" t="str">
            <v>99-000739</v>
          </cell>
        </row>
        <row r="1285">
          <cell r="B1285" t="str">
            <v>302-003796</v>
          </cell>
          <cell r="C1285" t="str">
            <v>900W 铂金交流电源  PAC900S12-BW</v>
          </cell>
          <cell r="D1285" t="str">
            <v>02131725</v>
          </cell>
          <cell r="E1285" t="str">
            <v>电源</v>
          </cell>
          <cell r="F1285">
            <v>5.0000000000000001E-3</v>
          </cell>
          <cell r="G1285">
            <v>1219</v>
          </cell>
          <cell r="I1285" t="str">
            <v>99-000448</v>
          </cell>
        </row>
        <row r="1286">
          <cell r="B1286" t="str">
            <v>302-003402</v>
          </cell>
          <cell r="C1286" t="str">
            <v>SSD HSSD-3.84TB-SAS3.0-2.5读取 HWCC</v>
          </cell>
          <cell r="D1286" t="str">
            <v>02356AXX/02356AYA</v>
          </cell>
          <cell r="E1286" t="str">
            <v>硬盘</v>
          </cell>
          <cell r="F1286">
            <v>5.4999999999999997E-3</v>
          </cell>
          <cell r="G1286">
            <v>1528</v>
          </cell>
          <cell r="I1286" t="str">
            <v>99-000083</v>
          </cell>
        </row>
        <row r="1287">
          <cell r="B1287" t="str">
            <v>302-002019</v>
          </cell>
          <cell r="C1287" t="str">
            <v>S电源线PDU国标-C14直公-C13直母-250V10A-1.0m黑-交流</v>
          </cell>
          <cell r="D1287" t="str">
            <v>04050373</v>
          </cell>
          <cell r="E1287" t="str">
            <v>电源线</v>
          </cell>
          <cell r="F1287">
            <v>2E-3</v>
          </cell>
          <cell r="G1287">
            <v>420</v>
          </cell>
          <cell r="I1287" t="str">
            <v>99-000248</v>
          </cell>
        </row>
        <row r="1288">
          <cell r="B1288" t="str">
            <v>302-003778</v>
          </cell>
          <cell r="C1288" t="str">
            <v>GPU卡-Radeon PRO W6800-PCIe4.0x16-32G-250W-双宽全高全长</v>
          </cell>
          <cell r="D1288" t="str">
            <v>02570237</v>
          </cell>
          <cell r="E1288" t="str">
            <v>GPU卡</v>
          </cell>
          <cell r="F1288">
            <v>6.3E-3</v>
          </cell>
          <cell r="G1288">
            <v>252</v>
          </cell>
        </row>
        <row r="1289">
          <cell r="B1289" t="str">
            <v>302-003779</v>
          </cell>
          <cell r="C1289" t="str">
            <v>视频解析卡NETINT Quadra T2A-PCIe4.0x4-40W-单宽半高半长</v>
          </cell>
          <cell r="D1289" t="str">
            <v>Quadra T2A</v>
          </cell>
          <cell r="E1289" t="str">
            <v>PCIe提升卡</v>
          </cell>
          <cell r="F1289">
            <v>3.0999999999999999E-3</v>
          </cell>
          <cell r="G1289">
            <v>131</v>
          </cell>
        </row>
        <row r="1290">
          <cell r="B1290" t="str">
            <v>302-003842</v>
          </cell>
          <cell r="C1290" t="str">
            <v>S内存DDR5-32G-5600MT/s-2Rx8-HLS</v>
          </cell>
          <cell r="D1290" t="str">
            <v>02510216</v>
          </cell>
          <cell r="E1290" t="str">
            <v>内存</v>
          </cell>
          <cell r="F1290">
            <v>2E-3</v>
          </cell>
          <cell r="G1290">
            <v>256</v>
          </cell>
          <cell r="I1290" t="str">
            <v>99-003842</v>
          </cell>
        </row>
        <row r="1291">
          <cell r="B1291" t="str">
            <v>302-003664</v>
          </cell>
          <cell r="C1291" t="str">
            <v>2*16X SLOT(PCIE X8)+1CEM*16X SLOT (PCIE X16)RISER1&amp;2模组-高性能</v>
          </cell>
          <cell r="D1291" t="str">
            <v>02580312</v>
          </cell>
          <cell r="E1291" t="str">
            <v>Riser模组</v>
          </cell>
          <cell r="F1291">
            <v>5.0000000000000001E-3</v>
          </cell>
          <cell r="G1291">
            <v>89</v>
          </cell>
        </row>
        <row r="1292">
          <cell r="B1292" t="str">
            <v>302-003804</v>
          </cell>
          <cell r="C1292" t="str">
            <v>灵活网卡1-UBC线缆直式转直式-150mm</v>
          </cell>
          <cell r="D1292">
            <v>14270117</v>
          </cell>
          <cell r="E1292" t="str">
            <v>线缆</v>
          </cell>
          <cell r="F1292">
            <v>2E-3</v>
          </cell>
          <cell r="G1292">
            <v>87</v>
          </cell>
        </row>
        <row r="1293">
          <cell r="B1293" t="str">
            <v>302-003805</v>
          </cell>
          <cell r="C1293" t="str">
            <v>灵活网卡2-UBC线缆弯式转直式-150mm</v>
          </cell>
          <cell r="D1293">
            <v>14270055</v>
          </cell>
          <cell r="E1293" t="str">
            <v>线缆</v>
          </cell>
          <cell r="F1293">
            <v>2E-3</v>
          </cell>
          <cell r="G1293">
            <v>82</v>
          </cell>
        </row>
        <row r="1294">
          <cell r="B1294" t="str">
            <v>302-003840</v>
          </cell>
          <cell r="C1294" t="str">
            <v>S内存DDR5-64G-5600MT/s-2Rx4-HLS</v>
          </cell>
          <cell r="D1294" t="str">
            <v>02510215</v>
          </cell>
          <cell r="E1294" t="str">
            <v>内存</v>
          </cell>
          <cell r="F1294">
            <v>2E-3</v>
          </cell>
          <cell r="G1294">
            <v>96</v>
          </cell>
          <cell r="I1294" t="str">
            <v>99-003840</v>
          </cell>
        </row>
        <row r="1295">
          <cell r="B1295" t="str">
            <v>302-002828</v>
          </cell>
          <cell r="C1295" t="str">
            <v>自研海光3.5 硬盘背板Latch</v>
          </cell>
          <cell r="D1295" t="str">
            <v>3.5 硬盘背板Latch</v>
          </cell>
          <cell r="E1295" t="str">
            <v>机箱/硬盘背板</v>
          </cell>
          <cell r="F1295">
            <v>2.8999999999999998E-3</v>
          </cell>
          <cell r="G1295">
            <v>46</v>
          </cell>
        </row>
        <row r="1296">
          <cell r="B1296" t="str">
            <v>302-003232</v>
          </cell>
          <cell r="C1296" t="str">
            <v>自研海光3号,PCBA,4GPU-RISER3,长线,V100</v>
          </cell>
          <cell r="D1296" t="str">
            <v>ST39_4GPU_RISER3_V</v>
          </cell>
          <cell r="E1296" t="str">
            <v>线缆</v>
          </cell>
          <cell r="F1296">
            <v>2E-3</v>
          </cell>
          <cell r="G1296">
            <v>30</v>
          </cell>
        </row>
        <row r="1297">
          <cell r="B1297" t="str">
            <v>302-003233</v>
          </cell>
          <cell r="C1297" t="str">
            <v>自研海光3号,PCBA,4GPU-RISER4,短线,V100</v>
          </cell>
          <cell r="D1297" t="str">
            <v>ST39_4GPU_RISER4_V</v>
          </cell>
          <cell r="E1297" t="str">
            <v>线缆</v>
          </cell>
          <cell r="F1297">
            <v>2E-3</v>
          </cell>
          <cell r="G1297">
            <v>30</v>
          </cell>
        </row>
        <row r="1298">
          <cell r="B1298" t="str">
            <v>302-003377</v>
          </cell>
          <cell r="C1298" t="str">
            <v>自研海光主板到4GPURISER13低速信号线缆,盛凌8直对8直,250mm,引脚1对1</v>
          </cell>
          <cell r="D1298" t="str">
            <v>HG3MB-4R13-SIGL025</v>
          </cell>
          <cell r="E1298" t="str">
            <v>线缆</v>
          </cell>
          <cell r="F1298">
            <v>2E-3</v>
          </cell>
          <cell r="G1298">
            <v>60</v>
          </cell>
        </row>
        <row r="1299">
          <cell r="B1299" t="str">
            <v>302-003376</v>
          </cell>
          <cell r="C1299" t="str">
            <v>自研海光主板到4GPURISER24低速信号线缆,盛凌8直对8直,250mm,引脚1对1</v>
          </cell>
          <cell r="D1299" t="str">
            <v>HG3MB-4R24-SIGL025</v>
          </cell>
          <cell r="E1299" t="str">
            <v>线缆</v>
          </cell>
          <cell r="F1299">
            <v>2E-3</v>
          </cell>
          <cell r="G1299">
            <v>60</v>
          </cell>
        </row>
        <row r="1300">
          <cell r="B1300" t="str">
            <v>302-003230</v>
          </cell>
          <cell r="C1300" t="str">
            <v>自研海光3号,PCBA,4GPU-RISER1,短线,V100</v>
          </cell>
          <cell r="D1300" t="str">
            <v>ST39_4GPU_RISER1_V</v>
          </cell>
          <cell r="E1300" t="str">
            <v>线缆</v>
          </cell>
          <cell r="F1300">
            <v>2E-3</v>
          </cell>
          <cell r="G1300">
            <v>30</v>
          </cell>
        </row>
        <row r="1301">
          <cell r="B1301" t="str">
            <v>302-003231</v>
          </cell>
          <cell r="C1301" t="str">
            <v>自研海光3号,PCBA,4GPU-RISER2,长线,V100</v>
          </cell>
          <cell r="D1301" t="str">
            <v>ST39_4GPU_RISER2_V</v>
          </cell>
          <cell r="E1301" t="str">
            <v>线缆</v>
          </cell>
          <cell r="F1301">
            <v>2E-3</v>
          </cell>
          <cell r="G1301">
            <v>30</v>
          </cell>
        </row>
        <row r="1302">
          <cell r="B1302" t="str">
            <v>302-003488</v>
          </cell>
          <cell r="C1302" t="str">
            <v>自研海光电源模块,标准CRPS,2000W,AC转DC12V,高斯宝G1401-2000W</v>
          </cell>
          <cell r="D1302" t="str">
            <v>G1401-2000W</v>
          </cell>
          <cell r="E1302" t="str">
            <v>电源</v>
          </cell>
          <cell r="F1302">
            <v>5.0000000000000001E-3</v>
          </cell>
          <cell r="G1302">
            <v>68</v>
          </cell>
        </row>
        <row r="1303">
          <cell r="B1303" t="str">
            <v>302-000490</v>
          </cell>
          <cell r="C1303" t="str">
            <v>控制板-2U右挂耳板</v>
          </cell>
          <cell r="D1303" t="str">
            <v>03029ACM</v>
          </cell>
          <cell r="E1303" t="str">
            <v>挂耳</v>
          </cell>
          <cell r="F1303">
            <v>1.6000000000000001E-3</v>
          </cell>
          <cell r="G1303">
            <v>0</v>
          </cell>
        </row>
        <row r="1304">
          <cell r="B1304" t="str">
            <v>302-003391</v>
          </cell>
          <cell r="C1304" t="str">
            <v>自研海光主板到4GPU-RISER5/6电源线缆1对1,12直转6直,160mm</v>
          </cell>
          <cell r="D1304" t="str">
            <v>HG3MB-4R56-PWR0160</v>
          </cell>
          <cell r="E1304" t="str">
            <v>线缆</v>
          </cell>
          <cell r="F1304">
            <v>2E-3</v>
          </cell>
          <cell r="G1304">
            <v>30</v>
          </cell>
        </row>
        <row r="1305">
          <cell r="B1305" t="str">
            <v>302-003380</v>
          </cell>
          <cell r="C1305" t="str">
            <v>自研海光主板到4GPU-RISER5-Slim线缆,弯对直,80mm,A1toA1</v>
          </cell>
          <cell r="D1305" t="str">
            <v>HG3MB-4R5-SLIM0085</v>
          </cell>
          <cell r="E1305" t="str">
            <v>线缆</v>
          </cell>
          <cell r="F1305">
            <v>2E-3</v>
          </cell>
          <cell r="G1305">
            <v>30</v>
          </cell>
        </row>
        <row r="1306">
          <cell r="B1306" t="str">
            <v>302-000327</v>
          </cell>
          <cell r="C1306" t="str">
            <v>S电源线1.5m-高压直流直母-227IEC53(RVV)1.0mm^2(3C)</v>
          </cell>
          <cell r="D1306" t="str">
            <v>04151188</v>
          </cell>
          <cell r="E1306" t="str">
            <v>电源线</v>
          </cell>
          <cell r="F1306">
            <v>2E-3</v>
          </cell>
          <cell r="G1306">
            <v>2</v>
          </cell>
        </row>
        <row r="1307">
          <cell r="B1307" t="str">
            <v>302-003641</v>
          </cell>
          <cell r="C1307" t="str">
            <v>SSD ES3521AV6-960G-SATA-2.5读取HW 侧底孔1.4</v>
          </cell>
          <cell r="D1307" t="str">
            <v>02551063</v>
          </cell>
          <cell r="E1307" t="str">
            <v>硬盘</v>
          </cell>
          <cell r="F1307">
            <v>5.4999999999999997E-3</v>
          </cell>
          <cell r="G1307">
            <v>5245</v>
          </cell>
          <cell r="I1307" t="str">
            <v>99-001349</v>
          </cell>
        </row>
        <row r="1308">
          <cell r="B1308" t="str">
            <v>302-002343</v>
          </cell>
          <cell r="C1308" t="str">
            <v>S硬盘12T-3.5-SATA 6G-7.2K-256M-DZ V1.0</v>
          </cell>
          <cell r="D1308" t="str">
            <v>MG09ACA12TE</v>
          </cell>
          <cell r="E1308" t="str">
            <v>硬盘</v>
          </cell>
          <cell r="F1308">
            <v>5.4999999999999997E-3</v>
          </cell>
          <cell r="G1308">
            <v>1052</v>
          </cell>
          <cell r="I1308" t="str">
            <v>99-000737</v>
          </cell>
        </row>
        <row r="1309">
          <cell r="B1309" t="str">
            <v>302-003811</v>
          </cell>
          <cell r="C1309" t="str">
            <v>Raid卡线缆-Slimline-2*mini SAS HD-0.8m&amp;0.7m</v>
          </cell>
          <cell r="D1309" t="str">
            <v>04052867-1</v>
          </cell>
          <cell r="E1309" t="str">
            <v>线缆</v>
          </cell>
          <cell r="F1309">
            <v>2E-3</v>
          </cell>
          <cell r="G1309">
            <v>0</v>
          </cell>
          <cell r="I1309" t="str">
            <v>99-001844</v>
          </cell>
        </row>
        <row r="1310">
          <cell r="B1310" t="str">
            <v>302-000876</v>
          </cell>
          <cell r="C1310" t="str">
            <v>2*16X SLOT(PCIE X8)DMINI RISER3卡-A722</v>
          </cell>
          <cell r="D1310" t="str">
            <v>02312RBC</v>
          </cell>
          <cell r="E1310" t="str">
            <v>Riser模组</v>
          </cell>
          <cell r="F1310">
            <v>5.0000000000000001E-3</v>
          </cell>
          <cell r="G1310">
            <v>0</v>
          </cell>
        </row>
        <row r="1311">
          <cell r="B1311" t="str">
            <v>302-003847</v>
          </cell>
          <cell r="C1311" t="str">
            <v>机箱2U2P-8*2.5SAS/SATA直通机箱-S920X20</v>
          </cell>
          <cell r="D1311" t="str">
            <v>02314QGL</v>
          </cell>
          <cell r="E1311" t="str">
            <v>机箱/硬盘背板</v>
          </cell>
          <cell r="F1311">
            <v>2.8999999999999998E-3</v>
          </cell>
          <cell r="G1311">
            <v>87</v>
          </cell>
        </row>
        <row r="1312">
          <cell r="B1312" t="str">
            <v>302-003660</v>
          </cell>
          <cell r="C1312" t="str">
            <v>高速板对板UBC8X转弯式miniSASHD-2-350mm&amp;450mm-高性能</v>
          </cell>
          <cell r="D1312">
            <v>14270177</v>
          </cell>
          <cell r="E1312" t="str">
            <v>线缆</v>
          </cell>
          <cell r="F1312">
            <v>2E-3</v>
          </cell>
          <cell r="G1312">
            <v>78</v>
          </cell>
        </row>
        <row r="1313">
          <cell r="B1313" t="str">
            <v>302-003728</v>
          </cell>
          <cell r="C1313" t="str">
            <v>高性能BMC插卡</v>
          </cell>
          <cell r="D1313" t="str">
            <v>02314UWJ</v>
          </cell>
          <cell r="E1313" t="str">
            <v>小板</v>
          </cell>
          <cell r="F1313">
            <v>8.5000000000000006E-3</v>
          </cell>
          <cell r="G1313">
            <v>87</v>
          </cell>
        </row>
        <row r="1314">
          <cell r="B1314" t="str">
            <v>302-003731</v>
          </cell>
          <cell r="C1314" t="str">
            <v>S主板S920X20-2*7270Z(64C@2.9G)-AD</v>
          </cell>
          <cell r="D1314" t="str">
            <v>03050QDN/03050MFX</v>
          </cell>
          <cell r="E1314" t="str">
            <v>主板</v>
          </cell>
          <cell r="F1314">
            <v>8.5000000000000006E-3</v>
          </cell>
          <cell r="G1314">
            <v>5</v>
          </cell>
          <cell r="I1314" t="str">
            <v>99-003731</v>
          </cell>
        </row>
        <row r="1315">
          <cell r="B1315" t="str">
            <v>302-001865</v>
          </cell>
          <cell r="C1315" t="str">
            <v>网卡SF400T-4*1Gb-RJ45-PCIe2.0 WX</v>
          </cell>
          <cell r="D1315" t="str">
            <v>SF400T</v>
          </cell>
          <cell r="E1315" t="str">
            <v>网卡</v>
          </cell>
          <cell r="F1315">
            <v>5.7999999999999996E-3</v>
          </cell>
          <cell r="G1315">
            <v>156</v>
          </cell>
        </row>
        <row r="1316">
          <cell r="B1316" t="str">
            <v>302-002700</v>
          </cell>
          <cell r="C1316" t="str">
            <v>NVMeSSD P5530-1.92T-U.2-PCIe4-2.5读取Intel</v>
          </cell>
          <cell r="D1316" t="str">
            <v>SSDPF2KX019XZ</v>
          </cell>
          <cell r="E1316" t="str">
            <v>硬盘</v>
          </cell>
          <cell r="F1316">
            <v>5.4999999999999997E-3</v>
          </cell>
          <cell r="G1316">
            <v>0</v>
          </cell>
        </row>
        <row r="1317">
          <cell r="B1317" t="str">
            <v>302-003788</v>
          </cell>
          <cell r="C1317" t="str">
            <v>NVMeSSD ES3600PV6-3.2TB-PCIe4-2.5读写HW</v>
          </cell>
          <cell r="D1317" t="str">
            <v>02551075</v>
          </cell>
          <cell r="E1317" t="str">
            <v>硬盘</v>
          </cell>
          <cell r="F1317">
            <v>5.4999999999999997E-3</v>
          </cell>
          <cell r="G1317">
            <v>150</v>
          </cell>
          <cell r="I1317" t="str">
            <v>99-003875</v>
          </cell>
        </row>
        <row r="1318">
          <cell r="B1318" t="str">
            <v>302-003719</v>
          </cell>
          <cell r="C1318" t="str">
            <v>NVMeSSD PM9A3-3.84T-PCIe4-2.5读取SX V1.1</v>
          </cell>
          <cell r="D1318" t="str">
            <v>MZQL23T8HCLS-00W07</v>
          </cell>
          <cell r="E1318" t="str">
            <v>硬盘</v>
          </cell>
          <cell r="F1318">
            <v>5.4999999999999997E-3</v>
          </cell>
          <cell r="G1318">
            <v>2180</v>
          </cell>
          <cell r="I1318" t="str">
            <v>99-002062</v>
          </cell>
        </row>
        <row r="1319">
          <cell r="B1319" t="str">
            <v>302-003874</v>
          </cell>
          <cell r="C1319" t="str">
            <v>高速UBCDD线缆-16X直-UBC 8X弯-30cm-4NVME模组</v>
          </cell>
          <cell r="D1319" t="str">
            <v>14270058-007</v>
          </cell>
          <cell r="E1319" t="str">
            <v>线缆</v>
          </cell>
          <cell r="F1319">
            <v>2E-3</v>
          </cell>
          <cell r="G1319">
            <v>45</v>
          </cell>
        </row>
        <row r="1320">
          <cell r="B1320" t="str">
            <v>302-003499</v>
          </cell>
          <cell r="C1320" t="str">
            <v>SSD PM897-480GB-SATA 2.5读写-SX V1.1</v>
          </cell>
          <cell r="D1320" t="str">
            <v>MZ7L3480HBLT-00B7C</v>
          </cell>
          <cell r="E1320" t="str">
            <v>硬盘</v>
          </cell>
          <cell r="F1320">
            <v>5.4999999999999997E-3</v>
          </cell>
          <cell r="G1320">
            <v>0</v>
          </cell>
          <cell r="I1320" t="str">
            <v>99-002104</v>
          </cell>
        </row>
        <row r="1321">
          <cell r="B1321" t="str">
            <v>302-003789</v>
          </cell>
          <cell r="C1321" t="str">
            <v>NVMeSSD ES3600PV6-6.4TB-PCIe4-2.5读写HW</v>
          </cell>
          <cell r="D1321" t="str">
            <v>02551076</v>
          </cell>
          <cell r="E1321" t="str">
            <v>硬盘</v>
          </cell>
          <cell r="F1321">
            <v>5.4999999999999997E-3</v>
          </cell>
          <cell r="G1321">
            <v>179</v>
          </cell>
          <cell r="I1321" t="str">
            <v>99-003538</v>
          </cell>
        </row>
        <row r="1322">
          <cell r="B1322" t="str">
            <v>302-002061</v>
          </cell>
          <cell r="C1322" t="str">
            <v>SSD PM9A3-1.92TB-NVMe4.0-2.5读取SX V1.0</v>
          </cell>
          <cell r="D1322" t="str">
            <v>MZQL21T9HCJR-00B7C</v>
          </cell>
          <cell r="E1322" t="str">
            <v>硬盘</v>
          </cell>
          <cell r="F1322">
            <v>5.4999999999999997E-3</v>
          </cell>
          <cell r="G1322">
            <v>10</v>
          </cell>
          <cell r="I1322" t="str">
            <v>99-000899</v>
          </cell>
        </row>
        <row r="1323">
          <cell r="B1323" t="str">
            <v>302-002746</v>
          </cell>
          <cell r="C1323" t="str">
            <v>网卡MCX623106AN-CDAT 100G双口 QSFP56无模HHHL</v>
          </cell>
          <cell r="D1323">
            <v>6310369</v>
          </cell>
          <cell r="E1323" t="str">
            <v>网卡</v>
          </cell>
          <cell r="F1323">
            <v>5.7999999999999996E-3</v>
          </cell>
          <cell r="G1323">
            <v>0</v>
          </cell>
          <cell r="I1323" t="str">
            <v>99-003021</v>
          </cell>
        </row>
        <row r="1324">
          <cell r="B1324" t="str">
            <v>302-003875</v>
          </cell>
          <cell r="C1324" t="str">
            <v>NVMeSSD ES3600PV6-3.2TB-PCIe4-2.5读写HW1.1</v>
          </cell>
          <cell r="D1324" t="str">
            <v>03034XET</v>
          </cell>
          <cell r="E1324" t="str">
            <v>硬盘</v>
          </cell>
          <cell r="F1324">
            <v>5.4999999999999997E-3</v>
          </cell>
          <cell r="G1324">
            <v>615</v>
          </cell>
          <cell r="I1324" t="str">
            <v>99-003875</v>
          </cell>
        </row>
        <row r="1325">
          <cell r="B1325" t="str">
            <v>302-003883</v>
          </cell>
          <cell r="C1325" t="str">
            <v>SSD HSSD-1.92TB-SAS3.0-2.5读取 HWCC</v>
          </cell>
          <cell r="D1325" t="str">
            <v>02356AYM</v>
          </cell>
          <cell r="E1325" t="str">
            <v>硬盘</v>
          </cell>
          <cell r="F1325">
            <v>5.4999999999999997E-3</v>
          </cell>
          <cell r="G1325">
            <v>186</v>
          </cell>
        </row>
        <row r="1326">
          <cell r="B1326" t="str">
            <v>302-003194</v>
          </cell>
          <cell r="C1326" t="str">
            <v>海外-光模块-SFP+-10G-多模(850nm,0.3km,LC)-HW</v>
          </cell>
          <cell r="D1326" t="str">
            <v>34060494-005</v>
          </cell>
          <cell r="E1326" t="str">
            <v>光模块</v>
          </cell>
          <cell r="F1326">
            <v>4.1999999999999997E-3</v>
          </cell>
          <cell r="G1326">
            <v>0</v>
          </cell>
        </row>
        <row r="1327">
          <cell r="B1327" t="str">
            <v>302-003226</v>
          </cell>
          <cell r="C1327" t="str">
            <v>S主板 S920S10K-2*5221K (32C@2.6) -AD</v>
          </cell>
          <cell r="D1327" t="str">
            <v>03050GXB</v>
          </cell>
          <cell r="E1327" t="str">
            <v>主板</v>
          </cell>
          <cell r="F1327">
            <v>8.5000000000000006E-3</v>
          </cell>
          <cell r="G1327">
            <v>0</v>
          </cell>
        </row>
        <row r="1328">
          <cell r="B1328" t="str">
            <v>302-003938</v>
          </cell>
          <cell r="C1328" t="str">
            <v>SSD ES3521AV6-3.84T-SATA-2.5读取HW 侧底孔1.4</v>
          </cell>
          <cell r="D1328" t="str">
            <v>02551093</v>
          </cell>
          <cell r="E1328" t="str">
            <v>硬盘</v>
          </cell>
          <cell r="F1328">
            <v>5.4999999999999997E-3</v>
          </cell>
          <cell r="G1328">
            <v>690</v>
          </cell>
          <cell r="I1328" t="str">
            <v>99-003938</v>
          </cell>
        </row>
        <row r="1329">
          <cell r="B1329" t="str">
            <v>302-003655</v>
          </cell>
          <cell r="C1329" t="str">
            <v>DPU卡-SP920-4*25G-SFP+-Pcie5.0x16</v>
          </cell>
          <cell r="D1329" t="str">
            <v>02314XEB</v>
          </cell>
          <cell r="E1329" t="str">
            <v>DPU卡</v>
          </cell>
          <cell r="F1329">
            <v>6.3E-3</v>
          </cell>
          <cell r="G1329">
            <v>0</v>
          </cell>
        </row>
        <row r="1330">
          <cell r="B1330" t="str">
            <v>304-000446</v>
          </cell>
          <cell r="C1330" t="str">
            <v>Atlas800IA2(2*2.5NVME机箱4*920,8*910)HCCS</v>
          </cell>
          <cell r="D1330" t="str">
            <v>02314VDU</v>
          </cell>
          <cell r="E1330" t="str">
            <v>L6典配</v>
          </cell>
          <cell r="F1330">
            <v>2.8999999999999998E-3</v>
          </cell>
          <cell r="G1330">
            <v>2</v>
          </cell>
        </row>
        <row r="1331">
          <cell r="B1331" t="str">
            <v>302-002400</v>
          </cell>
          <cell r="C1331" t="str">
            <v>机箱2U2P-8SAS+12NVMe-X00（无SAS线）3.0G专用-YJ</v>
          </cell>
          <cell r="D1331" t="str">
            <v>02314LGK</v>
          </cell>
          <cell r="E1331" t="str">
            <v>机箱/硬盘背板</v>
          </cell>
          <cell r="F1331">
            <v>2.8999999999999998E-3</v>
          </cell>
          <cell r="G1331">
            <v>1</v>
          </cell>
          <cell r="I1331" t="str">
            <v>88-000493</v>
          </cell>
        </row>
        <row r="1332">
          <cell r="B1332" t="str">
            <v>302-003936</v>
          </cell>
          <cell r="C1332" t="str">
            <v>机箱 12*3.5硬盘直通 2U2P 32C</v>
          </cell>
          <cell r="D1332" t="str">
            <v>02314XAL</v>
          </cell>
          <cell r="E1332" t="str">
            <v>机箱/硬盘背板</v>
          </cell>
          <cell r="F1332">
            <v>2.8999999999999998E-3</v>
          </cell>
          <cell r="G1332">
            <v>1</v>
          </cell>
          <cell r="I1332" t="str">
            <v>88-000296</v>
          </cell>
        </row>
        <row r="1333">
          <cell r="B1333" t="str">
            <v>302-000716</v>
          </cell>
          <cell r="C1333" t="str">
            <v>控制板-2U左挂耳板</v>
          </cell>
          <cell r="D1333" t="str">
            <v>03025VYY</v>
          </cell>
          <cell r="E1333" t="str">
            <v>挂耳</v>
          </cell>
          <cell r="F1333">
            <v>1.6000000000000001E-3</v>
          </cell>
          <cell r="G1333">
            <v>0</v>
          </cell>
          <cell r="I1333" t="str">
            <v>99-000491</v>
          </cell>
        </row>
        <row r="1334">
          <cell r="B1334" t="str">
            <v>302-002041</v>
          </cell>
          <cell r="C1334" t="str">
            <v>S硬盘16T-3.5SATA-6G7.2K-512M-XS V1.1</v>
          </cell>
          <cell r="D1334" t="str">
            <v>02312PAN</v>
          </cell>
          <cell r="E1334" t="str">
            <v>硬盘</v>
          </cell>
          <cell r="F1334">
            <v>5.4999999999999997E-3</v>
          </cell>
          <cell r="G1334">
            <v>4723</v>
          </cell>
          <cell r="I1334" t="str">
            <v>99-001163</v>
          </cell>
        </row>
        <row r="1335">
          <cell r="B1335" t="str">
            <v>302-003954</v>
          </cell>
          <cell r="C1335" t="str">
            <v>SSD ES3500S V6-7.68TB-SAS3.0-2.5读取 HW</v>
          </cell>
          <cell r="D1335" t="str">
            <v>02356LVU</v>
          </cell>
          <cell r="E1335" t="str">
            <v>硬盘</v>
          </cell>
          <cell r="F1335">
            <v>5.4999999999999997E-3</v>
          </cell>
          <cell r="G1335">
            <v>5537</v>
          </cell>
          <cell r="I1335" t="str">
            <v>99-003954</v>
          </cell>
        </row>
        <row r="1336">
          <cell r="B1336" t="str">
            <v>302-003836</v>
          </cell>
          <cell r="C1336" t="str">
            <v>S硬盘8T-3.5SATA-6G7.2K-128M-HW-V1.1</v>
          </cell>
          <cell r="D1336" t="str">
            <v>02540238</v>
          </cell>
          <cell r="E1336" t="str">
            <v>硬盘</v>
          </cell>
          <cell r="F1336">
            <v>5.4999999999999997E-3</v>
          </cell>
          <cell r="G1336">
            <v>0</v>
          </cell>
          <cell r="I1336" t="str">
            <v>99-001043</v>
          </cell>
        </row>
        <row r="1337">
          <cell r="B1337" t="str">
            <v>302-003546</v>
          </cell>
          <cell r="C1337" t="str">
            <v>网卡SP380-2*25G-SFP28-PCIe3.0x8-无模-无挡片</v>
          </cell>
          <cell r="D1337" t="str">
            <v>06310258</v>
          </cell>
          <cell r="E1337" t="str">
            <v>网卡</v>
          </cell>
          <cell r="F1337">
            <v>5.7999999999999996E-3</v>
          </cell>
          <cell r="G1337">
            <v>0</v>
          </cell>
          <cell r="I1337" t="str">
            <v>99-000910</v>
          </cell>
        </row>
        <row r="1338">
          <cell r="B1338" t="str">
            <v>302-003753</v>
          </cell>
          <cell r="C1338" t="str">
            <v>DPU卡UART连接线</v>
          </cell>
          <cell r="D1338" t="str">
            <v>04081040</v>
          </cell>
          <cell r="E1338" t="str">
            <v>线缆</v>
          </cell>
          <cell r="F1338">
            <v>2E-3</v>
          </cell>
          <cell r="G1338">
            <v>0</v>
          </cell>
        </row>
        <row r="1339">
          <cell r="B1339" t="str">
            <v>302-003884</v>
          </cell>
          <cell r="C1339" t="str">
            <v>S内存DDR4-64G-3200-2R×4-RD CX V1.0</v>
          </cell>
          <cell r="D1339" t="str">
            <v>02510248</v>
          </cell>
          <cell r="E1339" t="str">
            <v>内存</v>
          </cell>
          <cell r="F1339">
            <v>2E-3</v>
          </cell>
          <cell r="G1339">
            <v>5560</v>
          </cell>
        </row>
        <row r="1340">
          <cell r="B1340" t="str">
            <v>302-003780</v>
          </cell>
          <cell r="C1340" t="str">
            <v>视频卡GPU-DC1000-32GB-PCIE 4.0 X16-70W-HHHLSW</v>
          </cell>
          <cell r="D1340" t="str">
            <v>02570299</v>
          </cell>
          <cell r="E1340" t="str">
            <v>GPU卡</v>
          </cell>
          <cell r="F1340">
            <v>6.3E-3</v>
          </cell>
          <cell r="G1340">
            <v>682</v>
          </cell>
        </row>
        <row r="1341">
          <cell r="B1341" t="str">
            <v>302-003890</v>
          </cell>
          <cell r="C1341" t="str">
            <v>机箱 8SAS+12NVME硬盘 2U2P（3.0G专用）K22R-02</v>
          </cell>
          <cell r="D1341" t="str">
            <v>02314LGK</v>
          </cell>
          <cell r="E1341" t="str">
            <v>机箱/硬盘背板</v>
          </cell>
          <cell r="F1341">
            <v>2.8999999999999998E-3</v>
          </cell>
          <cell r="G1341">
            <v>4</v>
          </cell>
          <cell r="I1341" t="str">
            <v>88-000493</v>
          </cell>
        </row>
        <row r="1342">
          <cell r="B1342" t="str">
            <v>302-003947</v>
          </cell>
          <cell r="C1342" t="str">
            <v>成品板单元-Atlas 800I A2 910 module-IT21HMDC_Bin2-910 module</v>
          </cell>
          <cell r="D1342" t="str">
            <v>03050NBX</v>
          </cell>
          <cell r="E1342" t="str">
            <v>NPU模组</v>
          </cell>
          <cell r="F1342">
            <v>6.3E-3</v>
          </cell>
          <cell r="G1342">
            <v>0</v>
          </cell>
          <cell r="I1342" t="str">
            <v>99-003772</v>
          </cell>
        </row>
        <row r="1343">
          <cell r="B1343" t="str">
            <v>302-003912</v>
          </cell>
          <cell r="C1343" t="str">
            <v>灵活网卡2*200G接口卡-QSFP56</v>
          </cell>
          <cell r="D1343" t="str">
            <v>0302045449</v>
          </cell>
          <cell r="E1343" t="str">
            <v>灵活网卡</v>
          </cell>
          <cell r="F1343">
            <v>5.7999999999999996E-3</v>
          </cell>
          <cell r="G1343">
            <v>444</v>
          </cell>
          <cell r="I1343" t="str">
            <v>99-002709</v>
          </cell>
        </row>
        <row r="1344">
          <cell r="B1344" t="str">
            <v>302-003882</v>
          </cell>
          <cell r="C1344" t="str">
            <v>光模块-200G-QSFP56-多模-850nm-MPO-0.1KM-HW</v>
          </cell>
          <cell r="D1344" t="str">
            <v>02315AKC</v>
          </cell>
          <cell r="E1344" t="str">
            <v>光模块</v>
          </cell>
          <cell r="F1344">
            <v>4.1999999999999997E-3</v>
          </cell>
          <cell r="G1344">
            <v>620</v>
          </cell>
          <cell r="I1344" t="str">
            <v>99-003018</v>
          </cell>
        </row>
        <row r="1345">
          <cell r="B1345" t="str">
            <v>302-003815</v>
          </cell>
          <cell r="C1345" t="str">
            <v>SSD PM9A3-3.84TB-NVMe4.0-2.5读取SX V1.1</v>
          </cell>
          <cell r="D1345" t="str">
            <v>MZQL23T8HCLS-00A07</v>
          </cell>
          <cell r="E1345" t="str">
            <v>硬盘</v>
          </cell>
          <cell r="F1345">
            <v>5.4999999999999997E-3</v>
          </cell>
          <cell r="G1345">
            <v>802</v>
          </cell>
          <cell r="I1345" t="str">
            <v>99-002062</v>
          </cell>
        </row>
        <row r="1346">
          <cell r="B1346" t="str">
            <v>302-003517</v>
          </cell>
          <cell r="C1346" t="str">
            <v>U.2SSD ES3500PV6-3.84TB-PCIe4-2.5读取HW</v>
          </cell>
          <cell r="D1346" t="str">
            <v>02550397</v>
          </cell>
          <cell r="E1346" t="str">
            <v>硬盘</v>
          </cell>
          <cell r="F1346">
            <v>5.4999999999999997E-3</v>
          </cell>
          <cell r="G1346">
            <v>0</v>
          </cell>
          <cell r="I1346" t="str">
            <v>99-003404</v>
          </cell>
        </row>
        <row r="1347">
          <cell r="B1347" t="str">
            <v>302-003990</v>
          </cell>
          <cell r="C1347" t="str">
            <v>光模块-200G-QSFP56-多模-850nm-300m-LC-VR2-TRC</v>
          </cell>
          <cell r="D1347" t="str">
            <v>NA</v>
          </cell>
          <cell r="E1347" t="str">
            <v>光模块</v>
          </cell>
          <cell r="F1347">
            <v>4.1999999999999997E-3</v>
          </cell>
          <cell r="G1347">
            <v>56</v>
          </cell>
        </row>
        <row r="1348">
          <cell r="B1348" t="str">
            <v>302-003991</v>
          </cell>
          <cell r="C1348" t="str">
            <v>光模块-100G-QSFP56-多模-850nm-300m-LC-SR2-TRC</v>
          </cell>
          <cell r="D1348" t="str">
            <v>NA-442</v>
          </cell>
          <cell r="E1348" t="str">
            <v>光模块</v>
          </cell>
          <cell r="F1348">
            <v>4.1999999999999997E-3</v>
          </cell>
          <cell r="G1348">
            <v>14</v>
          </cell>
        </row>
        <row r="1349">
          <cell r="B1349" t="str">
            <v>302-002716</v>
          </cell>
          <cell r="C1349" t="str">
            <v>高速电缆-Slimline-2*mini SAS HD-0.7m&amp;0.6m</v>
          </cell>
          <cell r="D1349" t="str">
            <v>04052867-005</v>
          </cell>
          <cell r="E1349" t="str">
            <v>线缆</v>
          </cell>
          <cell r="F1349">
            <v>2E-3</v>
          </cell>
          <cell r="G1349">
            <v>0</v>
          </cell>
          <cell r="I1349" t="str">
            <v>99-002745</v>
          </cell>
        </row>
        <row r="1350">
          <cell r="B1350" t="str">
            <v>302-000152</v>
          </cell>
          <cell r="C1350" t="str">
            <v>Riser1模组2*2.5"+16X(X8)SAS专用</v>
          </cell>
          <cell r="D1350" t="str">
            <v>02312VYA</v>
          </cell>
          <cell r="E1350" t="str">
            <v>Riser模组</v>
          </cell>
          <cell r="F1350">
            <v>5.0000000000000001E-3</v>
          </cell>
          <cell r="G1350">
            <v>1</v>
          </cell>
          <cell r="I1350" t="str">
            <v>99-000346</v>
          </cell>
        </row>
        <row r="1351">
          <cell r="B1351" t="str">
            <v>302-003487</v>
          </cell>
          <cell r="C1351" t="str">
            <v>服务器8*2.5英寸硬盘2U机箱（海外）-A722</v>
          </cell>
          <cell r="D1351" t="str">
            <v>02314TLU</v>
          </cell>
          <cell r="E1351" t="str">
            <v>机箱/硬盘背板</v>
          </cell>
          <cell r="F1351">
            <v>2.8999999999999998E-3</v>
          </cell>
          <cell r="G1351">
            <v>3</v>
          </cell>
        </row>
        <row r="1352">
          <cell r="B1352" t="str">
            <v>302-003846</v>
          </cell>
          <cell r="C1352" t="str">
            <v>Atlas 300I Duo 96G推理卡双卡（附Riser1&amp;2模组FHFL）-海外</v>
          </cell>
          <cell r="D1352" t="str">
            <v>02314UTT</v>
          </cell>
          <cell r="E1352" t="str">
            <v>AI推理卡</v>
          </cell>
          <cell r="F1352">
            <v>6.3E-3</v>
          </cell>
          <cell r="G1352">
            <v>16</v>
          </cell>
        </row>
        <row r="1353">
          <cell r="B1353" t="str">
            <v>302-002285</v>
          </cell>
          <cell r="C1353" t="str">
            <v>RAID扣卡 SR450C-M 2G(Avago3508)V1.2-LJ</v>
          </cell>
          <cell r="D1353" t="str">
            <v>02312YJE</v>
          </cell>
          <cell r="E1353" t="str">
            <v>RAID卡</v>
          </cell>
          <cell r="F1353">
            <v>7.7999999999999996E-3</v>
          </cell>
          <cell r="G1353">
            <v>7</v>
          </cell>
          <cell r="I1353" t="str">
            <v>99-000134</v>
          </cell>
        </row>
        <row r="1354">
          <cell r="B1354" t="str">
            <v>302-003879</v>
          </cell>
          <cell r="C1354" t="str">
            <v>NVMeSSD ES3500PV6-3.84T-PCIe4-2.5读取HW1.3</v>
          </cell>
          <cell r="D1354" t="str">
            <v>03034XEU</v>
          </cell>
          <cell r="E1354" t="str">
            <v>硬盘</v>
          </cell>
          <cell r="F1354">
            <v>5.4999999999999997E-3</v>
          </cell>
          <cell r="G1354">
            <v>4176</v>
          </cell>
          <cell r="I1354" t="str">
            <v>99-003404</v>
          </cell>
        </row>
        <row r="1355">
          <cell r="B1355" t="str">
            <v>302-000522</v>
          </cell>
          <cell r="C1355" t="str">
            <v>RAID标卡Avago3408 无Cache-X8-全高半长</v>
          </cell>
          <cell r="D1355">
            <v>2560016</v>
          </cell>
          <cell r="E1355" t="str">
            <v>RAID卡</v>
          </cell>
          <cell r="F1355">
            <v>7.7999999999999996E-3</v>
          </cell>
          <cell r="G1355">
            <v>1</v>
          </cell>
          <cell r="I1355" t="str">
            <v>99-000419</v>
          </cell>
        </row>
        <row r="1356">
          <cell r="B1356" t="str">
            <v>302-003055</v>
          </cell>
          <cell r="C1356" t="str">
            <v>NVMeSSD UH831a-6.4TB-PCIe4-2.5读写YL-Y</v>
          </cell>
          <cell r="D1356" t="str">
            <v>RP2A26T4RK004VX</v>
          </cell>
          <cell r="E1356" t="str">
            <v>硬盘</v>
          </cell>
          <cell r="F1356">
            <v>5.4999999999999997E-3</v>
          </cell>
          <cell r="G1356">
            <v>202</v>
          </cell>
          <cell r="I1356" t="str">
            <v>99-002091</v>
          </cell>
        </row>
        <row r="1357">
          <cell r="B1357" t="str">
            <v>302-003588</v>
          </cell>
          <cell r="C1357" t="str">
            <v>硬盘16T-3.5SAS-12G 7.2K-512M-DZ</v>
          </cell>
          <cell r="D1357" t="str">
            <v>MG09SCA16TE</v>
          </cell>
          <cell r="E1357" t="str">
            <v>硬盘</v>
          </cell>
          <cell r="F1357">
            <v>5.4999999999999997E-3</v>
          </cell>
          <cell r="G1357">
            <v>26</v>
          </cell>
          <cell r="I1357" t="str">
            <v>99-003644</v>
          </cell>
        </row>
        <row r="1358">
          <cell r="B1358" t="str">
            <v>302-003500</v>
          </cell>
          <cell r="C1358" t="str">
            <v>SSD PM897-960GB-SATA 2.5读写-SX V1.1</v>
          </cell>
          <cell r="D1358" t="str">
            <v>MZ7L3960HBLT-00B7C</v>
          </cell>
          <cell r="E1358" t="str">
            <v>硬盘</v>
          </cell>
          <cell r="F1358">
            <v>5.4999999999999997E-3</v>
          </cell>
          <cell r="G1358">
            <v>0</v>
          </cell>
          <cell r="I1358" t="str">
            <v>99-002105</v>
          </cell>
        </row>
        <row r="1359">
          <cell r="B1359" t="str">
            <v>302-003562</v>
          </cell>
          <cell r="C1359" t="str">
            <v>S内存DDR4-32G-3200-1Rx4-海外</v>
          </cell>
          <cell r="D1359">
            <v>2510160</v>
          </cell>
          <cell r="E1359" t="str">
            <v>内存</v>
          </cell>
          <cell r="F1359">
            <v>2E-3</v>
          </cell>
          <cell r="G1359">
            <v>32</v>
          </cell>
        </row>
        <row r="1360">
          <cell r="B1360" t="str">
            <v>302-003579</v>
          </cell>
          <cell r="C1360" t="str">
            <v>S920S00-5220 2*(鲲鹏920,32C,16DIMM)（海外）</v>
          </cell>
          <cell r="D1360" t="str">
            <v>03050MTP</v>
          </cell>
          <cell r="E1360" t="str">
            <v>主板</v>
          </cell>
          <cell r="F1360">
            <v>8.5000000000000006E-3</v>
          </cell>
          <cell r="G1360">
            <v>0</v>
          </cell>
          <cell r="I1360" t="str">
            <v>99-000708</v>
          </cell>
        </row>
        <row r="1361">
          <cell r="B1361" t="str">
            <v>302-003494</v>
          </cell>
          <cell r="C1361" t="str">
            <v>内存DDR4-32G-3200-2Rx4-ZG</v>
          </cell>
          <cell r="D1361" t="str">
            <v>SCC32GP12C2F1C-32</v>
          </cell>
          <cell r="E1361" t="str">
            <v>内存</v>
          </cell>
          <cell r="F1361">
            <v>2E-3</v>
          </cell>
          <cell r="G1361">
            <v>8</v>
          </cell>
        </row>
        <row r="1362">
          <cell r="B1362" t="str">
            <v>302-001557</v>
          </cell>
          <cell r="C1362" t="str">
            <v>硬盘4T-SATA 6Gb/s-7.2K-3.5及托(紧凑) XJ</v>
          </cell>
          <cell r="D1362">
            <v>2540058</v>
          </cell>
          <cell r="E1362" t="str">
            <v>硬盘</v>
          </cell>
          <cell r="F1362">
            <v>5.4999999999999997E-3</v>
          </cell>
          <cell r="G1362">
            <v>0</v>
          </cell>
          <cell r="I1362" t="str">
            <v>99-001049</v>
          </cell>
        </row>
        <row r="1363">
          <cell r="B1363" t="str">
            <v>302-004014</v>
          </cell>
          <cell r="C1363" t="str">
            <v>Hi1620 4P服务器主板E-5250</v>
          </cell>
          <cell r="D1363" t="str">
            <v>02314RQK</v>
          </cell>
          <cell r="E1363" t="str">
            <v>主板</v>
          </cell>
          <cell r="F1363">
            <v>8.5000000000000006E-3</v>
          </cell>
          <cell r="G1363">
            <v>0</v>
          </cell>
          <cell r="I1363" t="str">
            <v>99-003288</v>
          </cell>
        </row>
        <row r="1364">
          <cell r="B1364" t="str">
            <v>302-003015</v>
          </cell>
          <cell r="C1364" t="str">
            <v>3508/3516 RAID卡超级电容-LJ</v>
          </cell>
          <cell r="D1364" t="str">
            <v>02314ASJ</v>
          </cell>
          <cell r="E1364" t="str">
            <v>超级电容</v>
          </cell>
          <cell r="F1364">
            <v>3.2000000000000002E-3</v>
          </cell>
          <cell r="G1364">
            <v>0</v>
          </cell>
          <cell r="I1364" t="str">
            <v>99-001655</v>
          </cell>
        </row>
        <row r="1365">
          <cell r="B1365" t="str">
            <v>302-001943</v>
          </cell>
          <cell r="C1365" t="str">
            <v>SSD ES3521AV6-1.92T-SATA 6Gb 2.5读取HW底孔</v>
          </cell>
          <cell r="D1365" t="str">
            <v>03034QVX</v>
          </cell>
          <cell r="E1365" t="str">
            <v>硬盘</v>
          </cell>
          <cell r="F1365">
            <v>5.4999999999999997E-3</v>
          </cell>
          <cell r="G1365">
            <v>14</v>
          </cell>
          <cell r="I1365" t="str">
            <v>99-001354</v>
          </cell>
        </row>
        <row r="1366">
          <cell r="B1366" t="str">
            <v>302-003544</v>
          </cell>
          <cell r="C1366" t="str">
            <v>NVMeSSD ES3600PV6-3.2TB-PCIe4-2.5读写HWCC2</v>
          </cell>
          <cell r="D1366" t="str">
            <v>02356EMQ</v>
          </cell>
          <cell r="E1366" t="str">
            <v>硬盘</v>
          </cell>
          <cell r="F1366">
            <v>5.4999999999999997E-3</v>
          </cell>
          <cell r="G1366">
            <v>0</v>
          </cell>
          <cell r="I1366" t="str">
            <v>99-003875</v>
          </cell>
        </row>
        <row r="1367">
          <cell r="B1367" t="str">
            <v>302-003406</v>
          </cell>
          <cell r="C1367" t="str">
            <v>NVMeSSD ES3600PV6-3.2TB-PCIe4-2.5读写HWCC</v>
          </cell>
          <cell r="D1367" t="str">
            <v>02356AYG/02356AYQ</v>
          </cell>
          <cell r="E1367" t="str">
            <v>硬盘</v>
          </cell>
          <cell r="F1367">
            <v>5.4999999999999997E-3</v>
          </cell>
          <cell r="G1367">
            <v>0</v>
          </cell>
          <cell r="I1367" t="str">
            <v>99-003875</v>
          </cell>
        </row>
        <row r="1368">
          <cell r="B1368" t="str">
            <v>302-003540</v>
          </cell>
          <cell r="C1368" t="str">
            <v>SSD HSSD-3.84TB-SAS3.0-2.5读取 HWCC-1</v>
          </cell>
          <cell r="D1368" t="str">
            <v>02356EMY</v>
          </cell>
          <cell r="E1368" t="str">
            <v>硬盘</v>
          </cell>
          <cell r="F1368">
            <v>5.4999999999999997E-3</v>
          </cell>
          <cell r="G1368">
            <v>0</v>
          </cell>
          <cell r="I1368" t="str">
            <v>99-000083</v>
          </cell>
        </row>
        <row r="1369">
          <cell r="B1369" t="str">
            <v>302-000658</v>
          </cell>
          <cell r="C1369" t="str">
            <v>SSD PM1725B-1.6T-NVMe3.0-2.5读写SX V1.0</v>
          </cell>
          <cell r="D1369" t="str">
            <v>MZWLL1T6HAJQ-00005</v>
          </cell>
          <cell r="E1369" t="str">
            <v>硬盘</v>
          </cell>
          <cell r="F1369">
            <v>5.4999999999999997E-3</v>
          </cell>
          <cell r="G1369">
            <v>1</v>
          </cell>
          <cell r="I1369" t="str">
            <v>99-000986</v>
          </cell>
        </row>
        <row r="1370">
          <cell r="B1370" t="str">
            <v>302-001277</v>
          </cell>
          <cell r="C1370" t="str">
            <v>后置 PSU 4*2.5寸硬盘背板组件(仅支持NVME)</v>
          </cell>
          <cell r="D1370" t="str">
            <v>02312NVL</v>
          </cell>
          <cell r="E1370" t="str">
            <v>后置硬盘背板</v>
          </cell>
          <cell r="F1370">
            <v>2.8999999999999998E-3</v>
          </cell>
          <cell r="G1370">
            <v>1</v>
          </cell>
          <cell r="I1370" t="str">
            <v>99-000146</v>
          </cell>
        </row>
        <row r="1371">
          <cell r="B1371" t="str">
            <v>302-003435</v>
          </cell>
          <cell r="C1371" t="str">
            <v>NVMeSSD SDHKD-UE-3.84T-U.2 PCIe3-2.5读取YX</v>
          </cell>
          <cell r="D1371" t="str">
            <v>SDHKD-UE3840</v>
          </cell>
          <cell r="E1371" t="str">
            <v>硬盘</v>
          </cell>
          <cell r="F1371">
            <v>5.4999999999999997E-3</v>
          </cell>
          <cell r="G1371">
            <v>44</v>
          </cell>
        </row>
        <row r="1372">
          <cell r="B1372" t="str">
            <v>304-000546</v>
          </cell>
          <cell r="C1372" t="str">
            <v>高性能L10典配2U-8*2.5直通机箱-2*7270Z-华大九天</v>
          </cell>
          <cell r="D1372" t="str">
            <v>02314YCY</v>
          </cell>
          <cell r="E1372" t="str">
            <v>L6典配</v>
          </cell>
          <cell r="F1372">
            <v>2.8999999999999998E-3</v>
          </cell>
          <cell r="G1372">
            <v>0</v>
          </cell>
        </row>
        <row r="1373">
          <cell r="B1373" t="str">
            <v>302-003334</v>
          </cell>
          <cell r="C1373" t="str">
            <v>内存-16G-DDR4-RDIMM-2R*8-3200MHz SX</v>
          </cell>
          <cell r="D1373" t="str">
            <v>M393A2K43EB3-CWE</v>
          </cell>
          <cell r="E1373" t="str">
            <v>内存</v>
          </cell>
          <cell r="F1373">
            <v>2E-3</v>
          </cell>
          <cell r="G1373">
            <v>164</v>
          </cell>
          <cell r="I1373" t="str">
            <v>99-001714</v>
          </cell>
        </row>
        <row r="1374">
          <cell r="B1374" t="str">
            <v>302-003644</v>
          </cell>
          <cell r="C1374" t="str">
            <v>S硬盘-16T-3.5SAS 12Gb/s-7.2K-512M-DZ</v>
          </cell>
          <cell r="D1374" t="str">
            <v>MG08SCA16TE</v>
          </cell>
          <cell r="E1374" t="str">
            <v>硬盘</v>
          </cell>
          <cell r="F1374">
            <v>5.4999999999999997E-3</v>
          </cell>
          <cell r="G1374">
            <v>139</v>
          </cell>
          <cell r="I1374" t="str">
            <v>99-003644</v>
          </cell>
        </row>
        <row r="1375">
          <cell r="B1375" t="str">
            <v>302-003958</v>
          </cell>
          <cell r="C1375" t="str">
            <v>Hi1711 BMC插卡-天池</v>
          </cell>
          <cell r="D1375" t="str">
            <v>0302070614</v>
          </cell>
          <cell r="E1375" t="str">
            <v>小板</v>
          </cell>
          <cell r="F1375">
            <v>8.5000000000000006E-3</v>
          </cell>
          <cell r="G1375">
            <v>1341</v>
          </cell>
          <cell r="I1375" t="str">
            <v>99-001883</v>
          </cell>
        </row>
        <row r="1376">
          <cell r="B1376" t="str">
            <v>302-002657</v>
          </cell>
          <cell r="C1376" t="str">
            <v>S内存DDR4-16G-2933-2Rx8-RD MG V1.0-LJ</v>
          </cell>
          <cell r="D1376" t="str">
            <v>MTA18ASF2G72PDZ-2G</v>
          </cell>
          <cell r="E1376" t="str">
            <v>内存</v>
          </cell>
          <cell r="F1376">
            <v>2E-3</v>
          </cell>
          <cell r="G1376">
            <v>128</v>
          </cell>
          <cell r="I1376" t="str">
            <v>99-000553</v>
          </cell>
        </row>
        <row r="1377">
          <cell r="B1377" t="str">
            <v>302-003214</v>
          </cell>
          <cell r="C1377" t="str">
            <v>NVMeSSD-R5101-3.84T-U.2-PCIe4-2.5-读取 DPW</v>
          </cell>
          <cell r="D1377" t="str">
            <v>DPRD3104T0T603T800</v>
          </cell>
          <cell r="E1377" t="str">
            <v>硬盘</v>
          </cell>
          <cell r="F1377">
            <v>5.4999999999999997E-3</v>
          </cell>
          <cell r="G1377">
            <v>420</v>
          </cell>
          <cell r="I1377" t="str">
            <v>99-002547</v>
          </cell>
        </row>
        <row r="1378">
          <cell r="B1378" t="str">
            <v>302-003374</v>
          </cell>
          <cell r="C1378" t="str">
            <v>网卡SP670-2*100G-QSFP28-PCIe4.0x16-无模-无挡片</v>
          </cell>
          <cell r="D1378" t="str">
            <v>02314UVY</v>
          </cell>
          <cell r="E1378" t="str">
            <v>网卡</v>
          </cell>
          <cell r="F1378">
            <v>5.7999999999999996E-3</v>
          </cell>
          <cell r="G1378">
            <v>114</v>
          </cell>
          <cell r="I1378" t="str">
            <v>99-003129</v>
          </cell>
        </row>
        <row r="1379">
          <cell r="B1379" t="str">
            <v>302-003547</v>
          </cell>
          <cell r="C1379" t="str">
            <v>网卡SP382-2*25G-SFP28-PCIe 3.0 x8-无模-无挡片</v>
          </cell>
          <cell r="D1379" t="str">
            <v>06310212</v>
          </cell>
          <cell r="E1379" t="str">
            <v>网卡</v>
          </cell>
          <cell r="F1379">
            <v>5.7999999999999996E-3</v>
          </cell>
          <cell r="G1379">
            <v>1673</v>
          </cell>
          <cell r="I1379" t="str">
            <v>99-000910</v>
          </cell>
        </row>
        <row r="1380">
          <cell r="B1380" t="str">
            <v>302-003586</v>
          </cell>
          <cell r="C1380" t="str">
            <v>3508/3516 RAID卡超级电容(不含电池盒)</v>
          </cell>
          <cell r="D1380" t="str">
            <v>02314YRM</v>
          </cell>
          <cell r="E1380" t="str">
            <v>超级电容</v>
          </cell>
          <cell r="F1380">
            <v>3.2000000000000002E-3</v>
          </cell>
          <cell r="G1380">
            <v>3655</v>
          </cell>
          <cell r="I1380" t="str">
            <v>99-001655</v>
          </cell>
        </row>
        <row r="1381">
          <cell r="B1381" t="str">
            <v>302-003763</v>
          </cell>
          <cell r="C1381" t="str">
            <v>S硬盘10T-3.5SAS-12G7.2K-256M-DZ</v>
          </cell>
          <cell r="D1381" t="str">
            <v>MG06SCA10TE</v>
          </cell>
          <cell r="E1381" t="str">
            <v>硬盘</v>
          </cell>
          <cell r="F1381">
            <v>5.4999999999999997E-3</v>
          </cell>
          <cell r="G1381">
            <v>96</v>
          </cell>
        </row>
        <row r="1382">
          <cell r="B1382" t="str">
            <v>302-003880</v>
          </cell>
          <cell r="C1382" t="str">
            <v>NVMeSSD ES3500PV6-7.68T-PCIe4-2.5读取HW1.3</v>
          </cell>
          <cell r="D1382" t="str">
            <v>03034XEY</v>
          </cell>
          <cell r="E1382" t="str">
            <v>硬盘</v>
          </cell>
          <cell r="F1382">
            <v>5.4999999999999997E-3</v>
          </cell>
          <cell r="G1382">
            <v>492</v>
          </cell>
          <cell r="I1382" t="str">
            <v>99-003537</v>
          </cell>
        </row>
        <row r="1383">
          <cell r="B1383" t="str">
            <v>302-003650</v>
          </cell>
          <cell r="C1383" t="str">
            <v>NVMeSSD ES3500PV6-7.68TB-PCIe4-2.5读取HW1.2</v>
          </cell>
          <cell r="D1383" t="str">
            <v>02551077</v>
          </cell>
          <cell r="E1383" t="str">
            <v>硬盘</v>
          </cell>
          <cell r="F1383">
            <v>5.4999999999999997E-3</v>
          </cell>
          <cell r="G1383">
            <v>0</v>
          </cell>
          <cell r="I1383" t="str">
            <v>99-003537</v>
          </cell>
        </row>
        <row r="1384">
          <cell r="B1384" t="str">
            <v>302-003405</v>
          </cell>
          <cell r="C1384" t="str">
            <v>NVMeSSD ES3500PV6-7.68TB-PCIe4-2.5读取HWCC</v>
          </cell>
          <cell r="D1384" t="str">
            <v>02356AYE/02356AYN</v>
          </cell>
          <cell r="E1384" t="str">
            <v>硬盘</v>
          </cell>
          <cell r="F1384">
            <v>5.4999999999999997E-3</v>
          </cell>
          <cell r="G1384">
            <v>0</v>
          </cell>
          <cell r="I1384" t="str">
            <v>99-003537</v>
          </cell>
        </row>
        <row r="1385">
          <cell r="B1385" t="str">
            <v>302-003964</v>
          </cell>
          <cell r="C1385" t="str">
            <v>网卡MCX623106AN-CDAT-100G双口-QSFP56-HW</v>
          </cell>
          <cell r="D1385" t="str">
            <v>02570272</v>
          </cell>
          <cell r="E1385" t="str">
            <v>网卡</v>
          </cell>
          <cell r="F1385">
            <v>5.7999999999999996E-3</v>
          </cell>
          <cell r="G1385">
            <v>81</v>
          </cell>
          <cell r="I1385" t="str">
            <v>99-003021</v>
          </cell>
        </row>
        <row r="1386">
          <cell r="B1386" t="str">
            <v>302-003987</v>
          </cell>
          <cell r="C1386" t="str">
            <v>服务器PAC900S12-B3 900W 3.0 版本交流电源</v>
          </cell>
          <cell r="D1386" t="str">
            <v>02314PDL</v>
          </cell>
          <cell r="E1386" t="str">
            <v>电源</v>
          </cell>
          <cell r="F1386">
            <v>5.0000000000000001E-3</v>
          </cell>
          <cell r="G1386">
            <v>20992</v>
          </cell>
          <cell r="I1386" t="str">
            <v>99-000448</v>
          </cell>
        </row>
        <row r="1387">
          <cell r="B1387" t="str">
            <v>302-003989</v>
          </cell>
          <cell r="C1387" t="str">
            <v>S主板S920X20-2*7270Z(64C@2.9G)-AI</v>
          </cell>
          <cell r="D1387" t="str">
            <v>03050PFY</v>
          </cell>
          <cell r="E1387" t="str">
            <v>主板</v>
          </cell>
          <cell r="F1387">
            <v>8.5000000000000006E-3</v>
          </cell>
          <cell r="G1387">
            <v>1</v>
          </cell>
          <cell r="I1387" t="str">
            <v>99-003731</v>
          </cell>
        </row>
        <row r="1388">
          <cell r="B1388" t="str">
            <v>302-003988</v>
          </cell>
          <cell r="C1388" t="str">
            <v>S内存DDR5-32G-4800MT/s-2Rx8-HW-SX</v>
          </cell>
          <cell r="D1388" t="str">
            <v>02510207</v>
          </cell>
          <cell r="E1388" t="str">
            <v>内存</v>
          </cell>
          <cell r="F1388">
            <v>2E-3</v>
          </cell>
          <cell r="G1388">
            <v>0</v>
          </cell>
        </row>
        <row r="1389">
          <cell r="B1389" t="str">
            <v>302-003998</v>
          </cell>
          <cell r="C1389" t="str">
            <v>网卡SP681-2*25G-SFP28-PCIe3.0x8-无模-全高</v>
          </cell>
          <cell r="D1389" t="str">
            <v>02570192</v>
          </cell>
          <cell r="E1389" t="str">
            <v>网卡</v>
          </cell>
          <cell r="F1389">
            <v>5.7999999999999996E-3</v>
          </cell>
          <cell r="G1389">
            <v>3428</v>
          </cell>
          <cell r="I1389" t="str">
            <v>99-003372</v>
          </cell>
        </row>
        <row r="1390">
          <cell r="B1390" t="str">
            <v>302-004010</v>
          </cell>
          <cell r="C1390" t="str">
            <v>网卡MCX623102AS-ADAT-25G双口-SFP28-PCIe4.0x16</v>
          </cell>
          <cell r="D1390" t="str">
            <v>NA-452</v>
          </cell>
          <cell r="E1390" t="str">
            <v>网卡</v>
          </cell>
          <cell r="F1390">
            <v>5.7999999999999996E-3</v>
          </cell>
          <cell r="G1390">
            <v>270</v>
          </cell>
        </row>
        <row r="1391">
          <cell r="B1391" t="str">
            <v>302-004052</v>
          </cell>
          <cell r="C1391" t="str">
            <v>S内存DDR5-64G-5600MT/s-2Rx4-HLS V1.1</v>
          </cell>
          <cell r="D1391" t="str">
            <v>02510215</v>
          </cell>
          <cell r="E1391" t="str">
            <v>内存</v>
          </cell>
          <cell r="F1391">
            <v>2E-3</v>
          </cell>
          <cell r="G1391">
            <v>0</v>
          </cell>
          <cell r="I1391" t="str">
            <v>99-003840</v>
          </cell>
        </row>
        <row r="1392">
          <cell r="B1392" t="str">
            <v>302-004054</v>
          </cell>
          <cell r="C1392" t="str">
            <v>S内存DDR5-64G-5600MT/s-2Rx4-HLS V1.3</v>
          </cell>
          <cell r="D1392" t="str">
            <v>02510215</v>
          </cell>
          <cell r="E1392" t="str">
            <v>内存</v>
          </cell>
          <cell r="F1392">
            <v>2E-3</v>
          </cell>
          <cell r="G1392">
            <v>32</v>
          </cell>
          <cell r="I1392" t="str">
            <v>99-003840</v>
          </cell>
        </row>
        <row r="1393">
          <cell r="B1393" t="str">
            <v>302-000494</v>
          </cell>
          <cell r="C1393" t="str">
            <v>背板-12*3.5直通</v>
          </cell>
          <cell r="D1393" t="str">
            <v>03028HEM</v>
          </cell>
          <cell r="E1393" t="str">
            <v>机箱/硬盘背板</v>
          </cell>
          <cell r="F1393">
            <v>2.8999999999999998E-3</v>
          </cell>
          <cell r="G1393">
            <v>354</v>
          </cell>
          <cell r="I1393" t="str">
            <v>88-000296</v>
          </cell>
        </row>
        <row r="1394">
          <cell r="B1394" t="str">
            <v>302-004023</v>
          </cell>
          <cell r="C1394" t="str">
            <v>机箱2U2P-12*3.5EXP-B背板-S920S00</v>
          </cell>
          <cell r="D1394" t="str">
            <v>02315DNV</v>
          </cell>
          <cell r="E1394" t="str">
            <v>机箱/硬盘背板</v>
          </cell>
          <cell r="F1394">
            <v>2.8999999999999998E-3</v>
          </cell>
          <cell r="G1394">
            <v>2657</v>
          </cell>
          <cell r="I1394" t="str">
            <v>88-002798</v>
          </cell>
        </row>
        <row r="1395">
          <cell r="B1395" t="str">
            <v>302-003445</v>
          </cell>
          <cell r="C1395" t="str">
            <v>S电源PAC900S12-B2-900W-交流-钛金</v>
          </cell>
          <cell r="D1395" t="str">
            <v>02313NFU</v>
          </cell>
          <cell r="E1395" t="str">
            <v>电源</v>
          </cell>
          <cell r="F1395">
            <v>5.0000000000000001E-3</v>
          </cell>
          <cell r="G1395">
            <v>12</v>
          </cell>
          <cell r="I1395" t="str">
            <v>99-000448</v>
          </cell>
        </row>
        <row r="1396">
          <cell r="B1396" t="str">
            <v>302-000076</v>
          </cell>
          <cell r="C1396" t="str">
            <v>固态盘ES3510SV5读取960G SAS 2.5(3.5托)备</v>
          </cell>
          <cell r="D1396" t="str">
            <v>02550011=</v>
          </cell>
          <cell r="E1396" t="str">
            <v>硬盘</v>
          </cell>
          <cell r="F1396">
            <v>5.4999999999999997E-3</v>
          </cell>
          <cell r="G1396">
            <v>13</v>
          </cell>
          <cell r="I1396" t="str">
            <v>99-000662</v>
          </cell>
        </row>
        <row r="1397">
          <cell r="B1397" t="str">
            <v>302-000096</v>
          </cell>
          <cell r="C1397" t="str">
            <v>固态盘ES3610PV5读写3200G-NVMe 2.5及托 备</v>
          </cell>
          <cell r="D1397" t="str">
            <v>02550004=</v>
          </cell>
          <cell r="E1397" t="str">
            <v>硬盘</v>
          </cell>
          <cell r="F1397">
            <v>5.4999999999999997E-3</v>
          </cell>
          <cell r="G1397">
            <v>64</v>
          </cell>
          <cell r="I1397" t="str">
            <v>99-000095</v>
          </cell>
        </row>
        <row r="1398">
          <cell r="B1398" t="str">
            <v>302-000156</v>
          </cell>
          <cell r="C1398" t="str">
            <v>SSD ES3610CV5-3.2T-PCIeNVMe3.0-读写HW V1.0</v>
          </cell>
          <cell r="D1398" t="str">
            <v>02312TAH</v>
          </cell>
          <cell r="E1398" t="str">
            <v>硬盘</v>
          </cell>
          <cell r="F1398">
            <v>5.4999999999999997E-3</v>
          </cell>
          <cell r="G1398">
            <v>26</v>
          </cell>
          <cell r="I1398" t="str">
            <v>99-000736</v>
          </cell>
        </row>
        <row r="1399">
          <cell r="B1399" t="str">
            <v>302-000384</v>
          </cell>
          <cell r="C1399" t="str">
            <v>固态硬盘-480GB-SATA 6Gb/s-读取-PM883</v>
          </cell>
          <cell r="D1399" t="str">
            <v>02312VWX</v>
          </cell>
          <cell r="E1399" t="str">
            <v>硬盘</v>
          </cell>
          <cell r="F1399">
            <v>5.4999999999999997E-3</v>
          </cell>
          <cell r="G1399">
            <v>1</v>
          </cell>
          <cell r="I1399" t="str">
            <v>99-000750</v>
          </cell>
        </row>
        <row r="1400">
          <cell r="B1400" t="str">
            <v>302-003937</v>
          </cell>
          <cell r="C1400" t="str">
            <v>机箱 36*3.5硬盘EXP 4U2P 48/64C</v>
          </cell>
          <cell r="D1400" t="str">
            <v>02314XAM</v>
          </cell>
          <cell r="E1400" t="str">
            <v>机箱/硬盘背板</v>
          </cell>
          <cell r="F1400">
            <v>2.8999999999999998E-3</v>
          </cell>
          <cell r="G1400">
            <v>20</v>
          </cell>
        </row>
        <row r="1401">
          <cell r="B1401" t="str">
            <v>302-002228</v>
          </cell>
          <cell r="C1401" t="str">
            <v>SSD SM883-1.92T-SATA-6G-2.5读写SX V1.0</v>
          </cell>
          <cell r="D1401" t="str">
            <v>MZ7KH1T9HAJR-00005-1</v>
          </cell>
          <cell r="E1401" t="str">
            <v>硬盘</v>
          </cell>
          <cell r="F1401">
            <v>5.4999999999999997E-3</v>
          </cell>
          <cell r="G1401">
            <v>1</v>
          </cell>
          <cell r="I1401" t="str">
            <v>99-001400</v>
          </cell>
        </row>
        <row r="1402">
          <cell r="B1402" t="str">
            <v>302-003747</v>
          </cell>
          <cell r="C1402" t="str">
            <v>内存DDR4-128G-3200-4Rx4-SX</v>
          </cell>
          <cell r="D1402" t="str">
            <v>M393AAG40M32-CYF</v>
          </cell>
          <cell r="E1402" t="str">
            <v>内存</v>
          </cell>
          <cell r="F1402">
            <v>2E-3</v>
          </cell>
          <cell r="G1402">
            <v>100</v>
          </cell>
        </row>
        <row r="1403">
          <cell r="B1403" t="str">
            <v>302-002420</v>
          </cell>
          <cell r="C1403" t="str">
            <v>Atlas 200I A2模组-8T-4GB内存</v>
          </cell>
          <cell r="D1403" t="str">
            <v>02314NGJ</v>
          </cell>
          <cell r="E1403" t="str">
            <v>内存</v>
          </cell>
          <cell r="F1403">
            <v>2E-3</v>
          </cell>
          <cell r="G1403">
            <v>16</v>
          </cell>
        </row>
        <row r="1404">
          <cell r="B1404" t="str">
            <v>302-003654</v>
          </cell>
          <cell r="C1404" t="str">
            <v>功能模块-Atlas 200I A2-IT22MMDB06(8T,4GB,宽温)</v>
          </cell>
          <cell r="D1404" t="str">
            <v>02315BKT</v>
          </cell>
          <cell r="E1404" t="str">
            <v>AI推理卡</v>
          </cell>
          <cell r="F1404">
            <v>6.3E-3</v>
          </cell>
          <cell r="G1404">
            <v>5000</v>
          </cell>
        </row>
        <row r="1405">
          <cell r="B1405" t="str">
            <v>302-003817</v>
          </cell>
          <cell r="C1405" t="str">
            <v>AI功能模块-Atlas 200I A2-20T 12GB-IT22MMDA14</v>
          </cell>
          <cell r="D1405" t="str">
            <v>02314TQA</v>
          </cell>
          <cell r="E1405" t="str">
            <v>AI推理卡</v>
          </cell>
          <cell r="F1405">
            <v>6.3E-3</v>
          </cell>
          <cell r="G1405">
            <v>1400</v>
          </cell>
        </row>
        <row r="1406">
          <cell r="B1406" t="str">
            <v>309-000540</v>
          </cell>
          <cell r="C1406" t="str">
            <v>自研海光3号服务器-风扇</v>
          </cell>
          <cell r="D1406" t="str">
            <v>无-155</v>
          </cell>
          <cell r="E1406" t="str">
            <v>风扇</v>
          </cell>
          <cell r="F1406">
            <v>2.8999999999999998E-3</v>
          </cell>
          <cell r="G1406">
            <v>0</v>
          </cell>
        </row>
        <row r="1407">
          <cell r="B1407" t="str">
            <v>309-000541</v>
          </cell>
          <cell r="C1407" t="str">
            <v>自研海光3号服务器-风扇板</v>
          </cell>
          <cell r="D1407" t="str">
            <v>无-156</v>
          </cell>
          <cell r="E1407" t="str">
            <v>风扇</v>
          </cell>
          <cell r="F1407">
            <v>2.8999999999999998E-3</v>
          </cell>
          <cell r="G1407">
            <v>0</v>
          </cell>
        </row>
        <row r="1408">
          <cell r="B1408" t="str">
            <v>309-000542</v>
          </cell>
          <cell r="C1408" t="str">
            <v>自研海光3号服务器-BMC</v>
          </cell>
          <cell r="D1408" t="str">
            <v>无-157</v>
          </cell>
          <cell r="E1408" t="str">
            <v>其他板卡</v>
          </cell>
          <cell r="F1408">
            <v>3.0999999999999999E-3</v>
          </cell>
          <cell r="G1408">
            <v>0</v>
          </cell>
        </row>
        <row r="1409">
          <cell r="B1409" t="str">
            <v>309-000543</v>
          </cell>
          <cell r="C1409" t="str">
            <v>自研海光3号服务器-左挂耳</v>
          </cell>
          <cell r="D1409" t="str">
            <v>无-158</v>
          </cell>
          <cell r="E1409" t="str">
            <v>挂耳</v>
          </cell>
          <cell r="F1409">
            <v>1.6000000000000001E-3</v>
          </cell>
          <cell r="G1409">
            <v>0</v>
          </cell>
        </row>
        <row r="1410">
          <cell r="B1410" t="str">
            <v>309-000544</v>
          </cell>
          <cell r="C1410" t="str">
            <v>自研海光3号服务器-右挂耳</v>
          </cell>
          <cell r="D1410" t="str">
            <v>无-159</v>
          </cell>
          <cell r="E1410" t="str">
            <v>挂耳</v>
          </cell>
          <cell r="F1410">
            <v>1.6000000000000001E-3</v>
          </cell>
          <cell r="G1410">
            <v>0</v>
          </cell>
        </row>
        <row r="1411">
          <cell r="B1411" t="str">
            <v>309-000545</v>
          </cell>
          <cell r="C1411" t="str">
            <v>自研海光3号服务器-前置硬盘背板</v>
          </cell>
          <cell r="D1411" t="str">
            <v>无-160</v>
          </cell>
          <cell r="E1411" t="str">
            <v>机箱/硬盘背板</v>
          </cell>
          <cell r="F1411">
            <v>2.8999999999999998E-3</v>
          </cell>
          <cell r="G1411">
            <v>0</v>
          </cell>
        </row>
        <row r="1412">
          <cell r="B1412" t="str">
            <v>304-000463</v>
          </cell>
          <cell r="C1412" t="str">
            <v>L6机箱-自研海光服务器4GPU机型-2*7360-带OCP挡片</v>
          </cell>
          <cell r="D1412" t="str">
            <v>N/A-44</v>
          </cell>
          <cell r="E1412" t="str">
            <v>L6典配</v>
          </cell>
          <cell r="F1412">
            <v>2.8999999999999998E-3</v>
          </cell>
          <cell r="G1412">
            <v>9</v>
          </cell>
        </row>
        <row r="1413">
          <cell r="B1413" t="str">
            <v>302-003969</v>
          </cell>
          <cell r="C1413" t="str">
            <v>riser模组裸板2*x8+1CEM*16X (PCIE X16)-高性能</v>
          </cell>
          <cell r="D1413">
            <v>302044498</v>
          </cell>
          <cell r="E1413" t="str">
            <v>Riser模组</v>
          </cell>
          <cell r="F1413">
            <v>5.0000000000000001E-3</v>
          </cell>
          <cell r="G1413">
            <v>0</v>
          </cell>
        </row>
        <row r="1414">
          <cell r="B1414" t="str">
            <v>302-003520</v>
          </cell>
          <cell r="C1414" t="str">
            <v>网卡HP382 25G双口SFP28(CX-5) Lx无光模块-半高</v>
          </cell>
          <cell r="D1414" t="str">
            <v>02314YBD</v>
          </cell>
          <cell r="E1414" t="str">
            <v>网卡</v>
          </cell>
          <cell r="F1414">
            <v>5.7999999999999996E-3</v>
          </cell>
          <cell r="G1414">
            <v>8</v>
          </cell>
          <cell r="I1414" t="str">
            <v>99-003302</v>
          </cell>
        </row>
        <row r="1415">
          <cell r="B1415" t="str">
            <v>302-004055</v>
          </cell>
          <cell r="C1415" t="str">
            <v>主板S920S00-2*5220-AT-VE-1711</v>
          </cell>
          <cell r="D1415" t="str">
            <v>03050LTM</v>
          </cell>
          <cell r="E1415" t="str">
            <v>主板</v>
          </cell>
          <cell r="F1415">
            <v>8.5000000000000006E-3</v>
          </cell>
          <cell r="G1415">
            <v>0</v>
          </cell>
          <cell r="I1415" t="str">
            <v>99-000708</v>
          </cell>
        </row>
        <row r="1416">
          <cell r="B1416" t="str">
            <v>302-003997</v>
          </cell>
          <cell r="C1416" t="str">
            <v>SSD-480G-SATA 6Gb-2.5-读取-JBL-from HW-1.2</v>
          </cell>
          <cell r="D1416" t="str">
            <v>02550806</v>
          </cell>
          <cell r="E1416" t="str">
            <v>硬盘</v>
          </cell>
          <cell r="F1416">
            <v>5.4999999999999997E-3</v>
          </cell>
          <cell r="G1416">
            <v>8</v>
          </cell>
          <cell r="I1416" t="str">
            <v>99-003585</v>
          </cell>
        </row>
        <row r="1417">
          <cell r="B1417" t="str">
            <v>302-003810</v>
          </cell>
          <cell r="C1417" t="str">
            <v>网卡HP382 2*25G-SFP28-PCIE 3.0 x8-无挡片</v>
          </cell>
          <cell r="D1417" t="str">
            <v>06310350/06310351</v>
          </cell>
          <cell r="E1417" t="str">
            <v>网卡</v>
          </cell>
          <cell r="F1417">
            <v>5.7999999999999996E-3</v>
          </cell>
          <cell r="G1417">
            <v>13932</v>
          </cell>
          <cell r="I1417" t="str">
            <v>99-003302</v>
          </cell>
        </row>
        <row r="1418">
          <cell r="B1418" t="str">
            <v>302-003962</v>
          </cell>
          <cell r="C1418" t="str">
            <v xml:space="preserve"> NVMeSSD ES3600PV7-3.2TB-PCIe5-2.5读写HW</v>
          </cell>
          <cell r="D1418" t="str">
            <v>02551036</v>
          </cell>
          <cell r="E1418" t="str">
            <v>硬盘</v>
          </cell>
          <cell r="F1418">
            <v>5.4999999999999997E-3</v>
          </cell>
          <cell r="G1418">
            <v>14</v>
          </cell>
        </row>
        <row r="1419">
          <cell r="B1419" t="str">
            <v>302-003034</v>
          </cell>
          <cell r="C1419" t="str">
            <v>硬盘背板-RH2288H V3-BC11THBQB</v>
          </cell>
          <cell r="D1419" t="str">
            <v>03024MSG</v>
          </cell>
          <cell r="E1419" t="str">
            <v>机箱/硬盘背板</v>
          </cell>
          <cell r="F1419">
            <v>2.8999999999999998E-3</v>
          </cell>
          <cell r="G1419">
            <v>0</v>
          </cell>
          <cell r="I1419" t="str">
            <v>88-000288</v>
          </cell>
        </row>
        <row r="1420">
          <cell r="B1420" t="str">
            <v>302-004036</v>
          </cell>
          <cell r="C1420" t="str">
            <v>SSD-3.84T-SATA 6Gb-2.5-读取-JBL-from HW1.2</v>
          </cell>
          <cell r="D1420">
            <v>99099513</v>
          </cell>
          <cell r="E1420" t="str">
            <v>硬盘</v>
          </cell>
          <cell r="F1420">
            <v>5.4999999999999997E-3</v>
          </cell>
          <cell r="G1420">
            <v>3450</v>
          </cell>
          <cell r="I1420" t="str">
            <v>99-003030</v>
          </cell>
        </row>
        <row r="1421">
          <cell r="B1421" t="str">
            <v>302-004044</v>
          </cell>
          <cell r="C1421" t="str">
            <v>S硬盘4T-3.5SATA-6G7.2K-512M-DZ-V1.0</v>
          </cell>
          <cell r="D1421" t="str">
            <v>NA-466</v>
          </cell>
          <cell r="E1421" t="str">
            <v>硬盘</v>
          </cell>
          <cell r="F1421">
            <v>5.4999999999999997E-3</v>
          </cell>
          <cell r="G1421">
            <v>2780</v>
          </cell>
          <cell r="I1421" t="str">
            <v>99-001049</v>
          </cell>
        </row>
        <row r="1422">
          <cell r="B1422" t="str">
            <v>302-003838</v>
          </cell>
          <cell r="C1422" t="str">
            <v>NVMeSSD P7940-7.68TB-PCIe5-2.5读取MB-HW</v>
          </cell>
          <cell r="D1422" t="str">
            <v>02551009</v>
          </cell>
          <cell r="E1422" t="str">
            <v>硬盘</v>
          </cell>
          <cell r="F1422">
            <v>5.4999999999999997E-3</v>
          </cell>
          <cell r="G1422">
            <v>258</v>
          </cell>
        </row>
        <row r="1423">
          <cell r="B1423" t="str">
            <v>302-000776</v>
          </cell>
          <cell r="C1423" t="str">
            <v>GPU供电线缆-for WX9100/WX7100</v>
          </cell>
          <cell r="D1423" t="str">
            <v>04152194</v>
          </cell>
          <cell r="E1423" t="str">
            <v>线缆</v>
          </cell>
          <cell r="F1423">
            <v>2E-3</v>
          </cell>
          <cell r="G1423">
            <v>244</v>
          </cell>
        </row>
        <row r="1424">
          <cell r="B1424" t="str">
            <v>308-000014</v>
          </cell>
          <cell r="C1424" t="str">
            <v>CM6657F-48S6CQ数据中心交换机</v>
          </cell>
          <cell r="D1424" t="str">
            <v>NO</v>
          </cell>
          <cell r="E1424" t="str">
            <v>交换机</v>
          </cell>
          <cell r="F1424">
            <v>5.0000000000000001E-3</v>
          </cell>
          <cell r="G1424">
            <v>2</v>
          </cell>
        </row>
        <row r="1425">
          <cell r="B1425" t="str">
            <v>308-000015</v>
          </cell>
          <cell r="C1425" t="str">
            <v>FAN-031A-B 风机盒(B,风机盒面板侧出风)</v>
          </cell>
          <cell r="D1425" t="str">
            <v>NO</v>
          </cell>
          <cell r="E1425" t="str">
            <v>交换机风机盒</v>
          </cell>
          <cell r="F1425">
            <v>2E-3</v>
          </cell>
          <cell r="G1425">
            <v>8</v>
          </cell>
        </row>
        <row r="1426">
          <cell r="B1426" t="str">
            <v>308-000016</v>
          </cell>
          <cell r="C1426" t="str">
            <v>PAC600S12-EB 600W交流电源模块</v>
          </cell>
          <cell r="D1426" t="str">
            <v>NO</v>
          </cell>
          <cell r="E1426" t="str">
            <v>交换机电源</v>
          </cell>
          <cell r="F1426">
            <v>5.0000000000000001E-3</v>
          </cell>
          <cell r="G1426">
            <v>4</v>
          </cell>
        </row>
        <row r="1427">
          <cell r="B1427" t="str">
            <v>308-000011</v>
          </cell>
          <cell r="C1427" t="str">
            <v>CM6657F-48S6CQ-B 交换机</v>
          </cell>
          <cell r="D1427" t="str">
            <v>CM6657F-48S6CQ-B</v>
          </cell>
          <cell r="E1427" t="str">
            <v>交换机</v>
          </cell>
          <cell r="F1427">
            <v>5.0000000000000001E-3</v>
          </cell>
          <cell r="G1427">
            <v>8</v>
          </cell>
        </row>
        <row r="1428">
          <cell r="B1428" t="str">
            <v>308-000034</v>
          </cell>
          <cell r="C1428" t="str">
            <v>CM5536-S48T4XC-B1 交换机</v>
          </cell>
          <cell r="D1428" t="str">
            <v>CM5536-S48T4XC-B1</v>
          </cell>
          <cell r="E1428" t="str">
            <v>交换机</v>
          </cell>
          <cell r="F1428">
            <v>5.0000000000000001E-3</v>
          </cell>
          <cell r="G1428">
            <v>6</v>
          </cell>
        </row>
        <row r="1429">
          <cell r="B1429" t="str">
            <v>304-000570</v>
          </cell>
          <cell r="C1429" t="str">
            <v>Atlas 800I A2-湘江白牌整机-A924A2典配L6-4*920 2.6G 8*910_4 6Nvme PCIe，</v>
          </cell>
          <cell r="D1429" t="str">
            <v>无-154</v>
          </cell>
          <cell r="E1429" t="str">
            <v>L6典配</v>
          </cell>
          <cell r="F1429">
            <v>2.8999999999999998E-3</v>
          </cell>
          <cell r="G1429">
            <v>1</v>
          </cell>
        </row>
        <row r="1430">
          <cell r="B1430" t="str">
            <v>302-003751</v>
          </cell>
          <cell r="C1430" t="str">
            <v>310P项目载板</v>
          </cell>
          <cell r="D1430" t="str">
            <v>无-181</v>
          </cell>
          <cell r="E1430" t="str">
            <v>其他板卡</v>
          </cell>
          <cell r="F1430">
            <v>3.0999999999999999E-3</v>
          </cell>
          <cell r="G1430">
            <v>8</v>
          </cell>
        </row>
        <row r="1431">
          <cell r="B1431" t="str">
            <v>302-003752</v>
          </cell>
          <cell r="C1431" t="str">
            <v>310P模组</v>
          </cell>
          <cell r="D1431" t="str">
            <v>ED41MOD310P</v>
          </cell>
          <cell r="E1431" t="str">
            <v>Riser模组</v>
          </cell>
          <cell r="F1431">
            <v>5.0000000000000001E-3</v>
          </cell>
          <cell r="G1431">
            <v>2</v>
          </cell>
        </row>
        <row r="1432">
          <cell r="B1432" t="str">
            <v>302-003142</v>
          </cell>
          <cell r="C1432" t="str">
            <v>内存-DDR4 RDIMM-64GB-2R*4</v>
          </cell>
          <cell r="D1432" t="str">
            <v>02510126</v>
          </cell>
          <cell r="E1432" t="str">
            <v>内存</v>
          </cell>
          <cell r="F1432">
            <v>2E-3</v>
          </cell>
          <cell r="G1432">
            <v>10</v>
          </cell>
        </row>
        <row r="1433">
          <cell r="B1433" t="str">
            <v>302-002604</v>
          </cell>
          <cell r="C1433" t="str">
            <v>高速PCIe线缆-1/0.65/0.65/0.75m-A924四合一线缆 800-9000 4合1线缆</v>
          </cell>
          <cell r="D1433">
            <v>4052598</v>
          </cell>
          <cell r="E1433" t="str">
            <v>线缆</v>
          </cell>
          <cell r="F1433">
            <v>2E-3</v>
          </cell>
          <cell r="G1433">
            <v>0</v>
          </cell>
        </row>
        <row r="1434">
          <cell r="B1434" t="str">
            <v>302-003877</v>
          </cell>
          <cell r="C1434" t="str">
            <v>NVMeSSD ES3600PV6-6.4TB-PCIe4-2.5读写HW1.1</v>
          </cell>
          <cell r="D1434" t="str">
            <v>03034XEX</v>
          </cell>
          <cell r="E1434" t="str">
            <v>硬盘</v>
          </cell>
          <cell r="F1434">
            <v>5.4999999999999997E-3</v>
          </cell>
          <cell r="G1434">
            <v>164</v>
          </cell>
          <cell r="I1434" t="str">
            <v>99-003538</v>
          </cell>
        </row>
        <row r="1435">
          <cell r="B1435" t="str">
            <v>302-003996</v>
          </cell>
          <cell r="C1435" t="str">
            <v>S主板S920X20-2*7270Z(64C@2.9G)-AM</v>
          </cell>
          <cell r="D1435" t="str">
            <v>03050QHT</v>
          </cell>
          <cell r="E1435" t="str">
            <v>主板</v>
          </cell>
          <cell r="F1435">
            <v>8.5000000000000006E-3</v>
          </cell>
          <cell r="G1435">
            <v>76</v>
          </cell>
          <cell r="I1435" t="str">
            <v>99-003731</v>
          </cell>
        </row>
        <row r="1436">
          <cell r="B1436" t="str">
            <v>302-004005</v>
          </cell>
          <cell r="C1436" t="str">
            <v>内存DDR5-32G-5600-2Rx8-RD-SX from HW</v>
          </cell>
          <cell r="D1436" t="str">
            <v>02510217/M321R4GA3PB0-CWM</v>
          </cell>
          <cell r="E1436" t="str">
            <v>内存</v>
          </cell>
          <cell r="F1436">
            <v>2E-3</v>
          </cell>
          <cell r="G1436">
            <v>1297</v>
          </cell>
        </row>
        <row r="1437">
          <cell r="B1437" t="str">
            <v>302-003491</v>
          </cell>
          <cell r="C1437" t="str">
            <v>S主板 S920X10-2*7265F (64C@3.0) -AD-作废</v>
          </cell>
          <cell r="D1437" t="str">
            <v>03050MTQ</v>
          </cell>
          <cell r="E1437" t="str">
            <v>主板</v>
          </cell>
          <cell r="F1437">
            <v>8.5000000000000006E-3</v>
          </cell>
          <cell r="G1437">
            <v>4</v>
          </cell>
          <cell r="I1437" t="str">
            <v>99-003151</v>
          </cell>
        </row>
        <row r="1438">
          <cell r="B1438" t="str">
            <v>302-003151</v>
          </cell>
          <cell r="C1438" t="str">
            <v>S主板S920X10-2*7265F(64C@3.0G) AD</v>
          </cell>
          <cell r="D1438" t="str">
            <v>03050MTQ</v>
          </cell>
          <cell r="E1438" t="str">
            <v>主板</v>
          </cell>
          <cell r="F1438">
            <v>8.5000000000000006E-3</v>
          </cell>
          <cell r="G1438">
            <v>4</v>
          </cell>
          <cell r="I1438" t="str">
            <v>99-003151</v>
          </cell>
        </row>
        <row r="1439">
          <cell r="B1439" t="str">
            <v>302-003986</v>
          </cell>
          <cell r="C1439" t="str">
            <v>高速电缆 Mini SAS HD Cable-0.9m</v>
          </cell>
          <cell r="D1439" t="str">
            <v>04051916-015-1</v>
          </cell>
          <cell r="E1439" t="str">
            <v>线缆</v>
          </cell>
          <cell r="F1439">
            <v>2E-3</v>
          </cell>
          <cell r="G1439">
            <v>6</v>
          </cell>
          <cell r="I1439" t="str">
            <v>99-000179</v>
          </cell>
        </row>
        <row r="1440">
          <cell r="B1440" t="str">
            <v>302-000301</v>
          </cell>
          <cell r="C1440" t="str">
            <v>标卡提升卡PCIE 1*x16 BC82PRUG</v>
          </cell>
          <cell r="D1440" t="str">
            <v>03026CMP</v>
          </cell>
          <cell r="E1440" t="str">
            <v>Riser模组</v>
          </cell>
          <cell r="F1440">
            <v>5.0000000000000001E-3</v>
          </cell>
          <cell r="G1440">
            <v>1</v>
          </cell>
        </row>
        <row r="1441">
          <cell r="B1441" t="str">
            <v>302-000262</v>
          </cell>
          <cell r="C1441" t="str">
            <v>内存-DDR4 RDIMM-32GB-2933-ECC</v>
          </cell>
          <cell r="D1441" t="str">
            <v>06200330</v>
          </cell>
          <cell r="E1441" t="str">
            <v>内存</v>
          </cell>
          <cell r="F1441">
            <v>2E-3</v>
          </cell>
          <cell r="G1441">
            <v>0</v>
          </cell>
          <cell r="I1441" t="str">
            <v>99-000262</v>
          </cell>
        </row>
        <row r="1442">
          <cell r="B1442" t="str">
            <v>302-002279</v>
          </cell>
          <cell r="C1442" t="str">
            <v>内存-DDR4 RDIMM-32GB-2933-ECC</v>
          </cell>
          <cell r="D1442" t="str">
            <v>06200330</v>
          </cell>
          <cell r="E1442" t="str">
            <v>内存</v>
          </cell>
          <cell r="F1442">
            <v>2E-3</v>
          </cell>
          <cell r="G1442">
            <v>0</v>
          </cell>
          <cell r="I1442" t="str">
            <v>99-000262</v>
          </cell>
        </row>
        <row r="1443">
          <cell r="B1443" t="str">
            <v>302-002787</v>
          </cell>
          <cell r="C1443" t="str">
            <v>S硬盘12T-3.5 SATA-6G-7.2K-256M-XS V1.0</v>
          </cell>
          <cell r="D1443" t="str">
            <v>HUH721212ALE600</v>
          </cell>
          <cell r="E1443" t="str">
            <v>硬盘</v>
          </cell>
          <cell r="F1443">
            <v>5.4999999999999997E-3</v>
          </cell>
          <cell r="G1443">
            <v>400</v>
          </cell>
          <cell r="I1443" t="str">
            <v>99-000737</v>
          </cell>
        </row>
        <row r="1444">
          <cell r="B1444" t="str">
            <v>302-003885</v>
          </cell>
          <cell r="C1444" t="str">
            <v>300V Pro 视频解析卡 PCI-E 1*16x(HHHL)-附一个全高拉手</v>
          </cell>
          <cell r="D1444" t="str">
            <v>02314MYQ</v>
          </cell>
          <cell r="E1444" t="str">
            <v>AI推理卡</v>
          </cell>
          <cell r="F1444">
            <v>6.3E-3</v>
          </cell>
          <cell r="G1444">
            <v>0</v>
          </cell>
          <cell r="I1444" t="str">
            <v>99-002442</v>
          </cell>
        </row>
        <row r="1445">
          <cell r="B1445" t="str">
            <v>302-002272</v>
          </cell>
          <cell r="C1445" t="str">
            <v>Riser模组 2*2.5后置硬盘背板组件+1*16</v>
          </cell>
          <cell r="D1445" t="str">
            <v>2580031-1</v>
          </cell>
          <cell r="E1445" t="str">
            <v>Riser模组</v>
          </cell>
          <cell r="F1445">
            <v>5.0000000000000001E-3</v>
          </cell>
          <cell r="G1445">
            <v>0</v>
          </cell>
          <cell r="I1445" t="str">
            <v>99-000211</v>
          </cell>
        </row>
        <row r="1446">
          <cell r="B1446" t="str">
            <v>302-001782</v>
          </cell>
          <cell r="C1446" t="str">
            <v>硬盘8T-SATA 6Gb/s-7.2K 3.5及托</v>
          </cell>
          <cell r="D1446" t="str">
            <v>02311JRE</v>
          </cell>
          <cell r="E1446" t="str">
            <v>硬盘</v>
          </cell>
          <cell r="F1446">
            <v>5.4999999999999997E-3</v>
          </cell>
          <cell r="G1446">
            <v>0</v>
          </cell>
          <cell r="I1446" t="str">
            <v>99-001043</v>
          </cell>
        </row>
        <row r="1447">
          <cell r="B1447" t="str">
            <v>302-002770</v>
          </cell>
          <cell r="C1447" t="str">
            <v>RISER1&amp;2 模组-3*8X SLOT-支持T4GPU</v>
          </cell>
          <cell r="D1447">
            <v>2580149</v>
          </cell>
          <cell r="E1447" t="str">
            <v>Riser模组</v>
          </cell>
          <cell r="F1447">
            <v>5.0000000000000001E-3</v>
          </cell>
          <cell r="G1447">
            <v>6</v>
          </cell>
          <cell r="I1447" t="str">
            <v>99-000147</v>
          </cell>
        </row>
        <row r="1448">
          <cell r="B1448" t="str">
            <v>302-003039</v>
          </cell>
          <cell r="C1448" t="str">
            <v>SSD S4520-960GB-SATA-2.5 读取 Intel</v>
          </cell>
          <cell r="D1448" t="str">
            <v>SSDSC2KB960GZ</v>
          </cell>
          <cell r="E1448" t="str">
            <v>硬盘</v>
          </cell>
          <cell r="F1448">
            <v>5.4999999999999997E-3</v>
          </cell>
          <cell r="G1448">
            <v>4</v>
          </cell>
          <cell r="I1448" t="str">
            <v>99-001016</v>
          </cell>
        </row>
        <row r="1449">
          <cell r="B1449" t="str">
            <v>302-003143</v>
          </cell>
          <cell r="C1449" t="str">
            <v>MBF2H512C-AEUOT-串口线</v>
          </cell>
          <cell r="D1449" t="str">
            <v>NA-86</v>
          </cell>
          <cell r="E1449" t="str">
            <v>线缆</v>
          </cell>
          <cell r="F1449">
            <v>2E-3</v>
          </cell>
          <cell r="G1449">
            <v>0</v>
          </cell>
        </row>
        <row r="1450">
          <cell r="B1450" t="str">
            <v>302-002256</v>
          </cell>
          <cell r="C1450" t="str">
            <v>FC HBA卡16G双口2光模块Hi1822 FH</v>
          </cell>
          <cell r="D1450" t="str">
            <v>02312CCY</v>
          </cell>
          <cell r="E1450" t="str">
            <v>HBA卡</v>
          </cell>
          <cell r="F1450">
            <v>6.1999999999999998E-3</v>
          </cell>
          <cell r="G1450">
            <v>0</v>
          </cell>
          <cell r="I1450" t="str">
            <v>99-000171</v>
          </cell>
        </row>
        <row r="1451">
          <cell r="B1451" t="str">
            <v>302-003935</v>
          </cell>
          <cell r="C1451" t="str">
            <v>S内存DDR4-32G-3200-2Rx4-RD HW 1.0</v>
          </cell>
          <cell r="D1451">
            <v>2510163</v>
          </cell>
          <cell r="E1451" t="str">
            <v>内存</v>
          </cell>
          <cell r="F1451">
            <v>2E-3</v>
          </cell>
          <cell r="G1451">
            <v>0</v>
          </cell>
        </row>
        <row r="1452">
          <cell r="B1452" t="str">
            <v>68-000218</v>
          </cell>
          <cell r="C1452" t="str">
            <v>自研海光3号服务器-4GPU-BR104P-12支架</v>
          </cell>
          <cell r="D1452" t="str">
            <v>空</v>
          </cell>
          <cell r="E1452" t="str">
            <v>其他板卡</v>
          </cell>
          <cell r="F1452">
            <v>3.0999999999999999E-3</v>
          </cell>
          <cell r="G1452">
            <v>0</v>
          </cell>
        </row>
        <row r="1453">
          <cell r="B1453" t="str">
            <v>68-000219</v>
          </cell>
          <cell r="C1453" t="str">
            <v>自研海光3号服务器-4GPU-BR104P-34支架</v>
          </cell>
          <cell r="D1453" t="str">
            <v>空</v>
          </cell>
          <cell r="E1453" t="str">
            <v>其他板卡</v>
          </cell>
          <cell r="F1453">
            <v>3.0999999999999999E-3</v>
          </cell>
          <cell r="G1453">
            <v>0</v>
          </cell>
        </row>
        <row r="1454">
          <cell r="B1454" t="str">
            <v>68-000154</v>
          </cell>
          <cell r="C1454" t="str">
            <v>自研海光3号服务器-4GPU机型阵列卡支架</v>
          </cell>
          <cell r="D1454" t="str">
            <v>空</v>
          </cell>
          <cell r="E1454" t="str">
            <v>其他板卡</v>
          </cell>
          <cell r="F1454">
            <v>3.0999999999999999E-3</v>
          </cell>
          <cell r="G1454">
            <v>0</v>
          </cell>
        </row>
        <row r="1455">
          <cell r="B1455" t="str">
            <v>304-000584</v>
          </cell>
          <cell r="C1455" t="str">
            <v>A924典配L10-4*920-8*9104 64G-32*32G-样机【671B满血版-48核】-671样机48核</v>
          </cell>
          <cell r="D1455" t="str">
            <v>02315HQL</v>
          </cell>
          <cell r="E1455" t="str">
            <v>L10典配</v>
          </cell>
          <cell r="F1455">
            <v>2.8999999999999998E-3</v>
          </cell>
          <cell r="G1455">
            <v>111</v>
          </cell>
        </row>
        <row r="1456">
          <cell r="B1456" t="str">
            <v>304-000595</v>
          </cell>
          <cell r="C1456" t="str">
            <v>A924典配L10-4*920-8*910_4 64G-32*32G-671典配48核</v>
          </cell>
          <cell r="D1456" t="str">
            <v>02315HQK</v>
          </cell>
          <cell r="E1456" t="str">
            <v>L10典配</v>
          </cell>
          <cell r="F1456">
            <v>2.8999999999999998E-3</v>
          </cell>
          <cell r="G1456">
            <v>0</v>
          </cell>
        </row>
        <row r="1457">
          <cell r="B1457" t="str">
            <v>304-000585</v>
          </cell>
          <cell r="C1457" t="str">
            <v>A924典配L10-4*920-8*910_4 64G-16*32G-YJ-样机-70B样机</v>
          </cell>
          <cell r="D1457" t="str">
            <v>02315HQQ</v>
          </cell>
          <cell r="E1457" t="str">
            <v>L10典配</v>
          </cell>
          <cell r="F1457">
            <v>2.8999999999999998E-3</v>
          </cell>
          <cell r="G1457">
            <v>0</v>
          </cell>
        </row>
        <row r="1458">
          <cell r="B1458" t="str">
            <v>304-000593</v>
          </cell>
          <cell r="C1458" t="str">
            <v>A924典配L10-4*920-8*910_4 64G-16*32G-70典配</v>
          </cell>
          <cell r="D1458" t="str">
            <v>02315HQP</v>
          </cell>
          <cell r="E1458" t="str">
            <v>L10典配</v>
          </cell>
          <cell r="F1458">
            <v>2.8999999999999998E-3</v>
          </cell>
          <cell r="G1458">
            <v>0</v>
          </cell>
        </row>
        <row r="1459">
          <cell r="B1459" t="str">
            <v>304-000583</v>
          </cell>
          <cell r="C1459" t="str">
            <v>A924典配L10-4*920 3.0-8*910_4 64G-16*64GYJ-样机【671B满血版-64核】-671样机64核</v>
          </cell>
          <cell r="D1459" t="str">
            <v>02315HQM</v>
          </cell>
          <cell r="E1459" t="str">
            <v>L10典配</v>
          </cell>
          <cell r="F1459">
            <v>2.8999999999999998E-3</v>
          </cell>
          <cell r="G1459">
            <v>0</v>
          </cell>
        </row>
        <row r="1460">
          <cell r="B1460" t="str">
            <v>304-000594</v>
          </cell>
          <cell r="C1460" t="str">
            <v>A924典配L10-4*920 3.0-8*910_4 64G-16*64G-671典配64核</v>
          </cell>
          <cell r="D1460" t="str">
            <v>02315HQN</v>
          </cell>
          <cell r="E1460" t="str">
            <v>L10典配</v>
          </cell>
          <cell r="F1460">
            <v>2.8999999999999998E-3</v>
          </cell>
          <cell r="G1460">
            <v>0</v>
          </cell>
        </row>
        <row r="1461">
          <cell r="B1461" t="str">
            <v>304-000582</v>
          </cell>
          <cell r="C1461" t="str">
            <v>A924典配L10-4*920-8*910_4 32G-16*32G-YJ-样机-32B样机</v>
          </cell>
          <cell r="D1461" t="str">
            <v>02315HQS</v>
          </cell>
          <cell r="E1461" t="str">
            <v>L10典配</v>
          </cell>
          <cell r="F1461">
            <v>2.8999999999999998E-3</v>
          </cell>
          <cell r="G1461">
            <v>0</v>
          </cell>
        </row>
        <row r="1462">
          <cell r="B1462" t="str">
            <v>304-000592</v>
          </cell>
          <cell r="C1462" t="str">
            <v>A924典配L10-4*920-8*910_4 32G-16*32G-32典配</v>
          </cell>
          <cell r="D1462" t="str">
            <v>02315HQR</v>
          </cell>
          <cell r="E1462" t="str">
            <v>L10典配</v>
          </cell>
          <cell r="F1462">
            <v>2.8999999999999998E-3</v>
          </cell>
          <cell r="G1462">
            <v>0</v>
          </cell>
        </row>
        <row r="1463">
          <cell r="B1463" t="str">
            <v>302-004167</v>
          </cell>
          <cell r="C1463" t="str">
            <v>64GB显存_HCCS_910_B4_1-昇腾910 AI 风冷模组</v>
          </cell>
          <cell r="D1463" t="str">
            <v>0302067278</v>
          </cell>
          <cell r="E1463" t="str">
            <v>NPU模组</v>
          </cell>
          <cell r="F1463">
            <v>6.3E-3</v>
          </cell>
          <cell r="G1463">
            <v>0</v>
          </cell>
          <cell r="I1463" t="str">
            <v>99-004167</v>
          </cell>
        </row>
        <row r="1464">
          <cell r="B1464" t="str">
            <v>302-004176</v>
          </cell>
          <cell r="C1464" t="str">
            <v>成品板单元-Atlas 800I A2-IT21SK4D-7265-AAI-Hi1620 4P服务器主板D</v>
          </cell>
          <cell r="D1464" t="str">
            <v>03050NBV</v>
          </cell>
          <cell r="E1464" t="str">
            <v>主板</v>
          </cell>
          <cell r="F1464">
            <v>8.5000000000000006E-3</v>
          </cell>
          <cell r="G1464">
            <v>0</v>
          </cell>
          <cell r="I1464" t="str">
            <v>99-004176</v>
          </cell>
        </row>
        <row r="1465">
          <cell r="B1465" t="str">
            <v>302-004050</v>
          </cell>
          <cell r="C1465" t="str">
            <v>机箱2U2P-12*3.5EXP-B背板-S920X00</v>
          </cell>
          <cell r="D1465" t="str">
            <v>02315DNU</v>
          </cell>
          <cell r="E1465" t="str">
            <v>机箱/硬盘背板</v>
          </cell>
          <cell r="F1465">
            <v>2.8999999999999998E-3</v>
          </cell>
          <cell r="G1465">
            <v>3154</v>
          </cell>
          <cell r="I1465" t="str">
            <v>88-002798</v>
          </cell>
        </row>
        <row r="1466">
          <cell r="B1466" t="str">
            <v>302-004160</v>
          </cell>
          <cell r="C1466" t="str">
            <v>显卡 JM9230 4G GDDR6 HDMI*4 (SWFHHL)JJW</v>
          </cell>
          <cell r="D1466" t="str">
            <v>JD9230P-A4000N4GSFX</v>
          </cell>
          <cell r="E1466" t="str">
            <v>PC-显卡</v>
          </cell>
          <cell r="F1466">
            <v>3.0999999999999999E-3</v>
          </cell>
          <cell r="G1466">
            <v>339</v>
          </cell>
        </row>
        <row r="1467">
          <cell r="B1467" t="str">
            <v>302-002968</v>
          </cell>
          <cell r="C1467" t="str">
            <v>3*16XSLOT(PCIEX8)DMINI RISER1&amp;2卡-A722-LJ</v>
          </cell>
          <cell r="D1467" t="str">
            <v>02312QJV-1</v>
          </cell>
          <cell r="E1467" t="str">
            <v>Riser模组</v>
          </cell>
          <cell r="F1467">
            <v>5.0000000000000001E-3</v>
          </cell>
          <cell r="G1467">
            <v>0</v>
          </cell>
          <cell r="I1467" t="str">
            <v>99-001549</v>
          </cell>
        </row>
        <row r="1468">
          <cell r="B1468" t="str">
            <v>302-000386</v>
          </cell>
          <cell r="C1468" t="str">
            <v>SSD Memblaze D510读取3.84TB NVMe 2.5无托</v>
          </cell>
          <cell r="D1468" t="str">
            <v>P5510DS0384T00</v>
          </cell>
          <cell r="E1468" t="str">
            <v>硬盘</v>
          </cell>
          <cell r="F1468">
            <v>5.4999999999999997E-3</v>
          </cell>
          <cell r="G1468">
            <v>0</v>
          </cell>
          <cell r="I1468" t="str">
            <v>99-000989</v>
          </cell>
        </row>
        <row r="1469">
          <cell r="B1469" t="str">
            <v>302-000595</v>
          </cell>
          <cell r="C1469" t="str">
            <v>SSD Memblaze D510读取3.84TB NVMe 2.5无托</v>
          </cell>
          <cell r="D1469" t="str">
            <v>P5510DS0384T00-1</v>
          </cell>
          <cell r="E1469" t="str">
            <v>硬盘</v>
          </cell>
          <cell r="F1469">
            <v>5.4999999999999997E-3</v>
          </cell>
          <cell r="G1469">
            <v>0</v>
          </cell>
          <cell r="I1469" t="str">
            <v>99-000989</v>
          </cell>
        </row>
        <row r="1470">
          <cell r="B1470" t="str">
            <v>302-002294</v>
          </cell>
          <cell r="C1470" t="str">
            <v>SSD Memblaze D510读取3.84TB NVMe 2.5无托</v>
          </cell>
          <cell r="D1470" t="str">
            <v>P5510DS0384T00</v>
          </cell>
          <cell r="E1470" t="str">
            <v>硬盘</v>
          </cell>
          <cell r="F1470">
            <v>5.4999999999999997E-3</v>
          </cell>
          <cell r="G1470">
            <v>0</v>
          </cell>
          <cell r="I1470" t="str">
            <v>99-000989</v>
          </cell>
        </row>
        <row r="1471">
          <cell r="B1471" t="str">
            <v>302-004064</v>
          </cell>
          <cell r="C1471" t="str">
            <v>RAID标卡SP686C-16i-2GB-PCIe4.0x8 HW-海外</v>
          </cell>
          <cell r="D1471" t="str">
            <v>02560085</v>
          </cell>
          <cell r="E1471" t="str">
            <v>RAID卡</v>
          </cell>
          <cell r="F1471">
            <v>7.7999999999999996E-3</v>
          </cell>
          <cell r="G1471">
            <v>5</v>
          </cell>
          <cell r="I1471" t="str">
            <v>99-003397</v>
          </cell>
        </row>
        <row r="1472">
          <cell r="B1472" t="str">
            <v>302-004210</v>
          </cell>
          <cell r="C1472" t="str">
            <v>功能模块-Atlas 800T A2-Ascend910_3 C-昇腾910_3</v>
          </cell>
          <cell r="D1472" t="str">
            <v>02314XJQ</v>
          </cell>
          <cell r="E1472" t="str">
            <v>NPU模组</v>
          </cell>
          <cell r="F1472">
            <v>6.3E-3</v>
          </cell>
          <cell r="G1472">
            <v>0</v>
          </cell>
          <cell r="I1472" t="str">
            <v>99-003292</v>
          </cell>
        </row>
        <row r="1473">
          <cell r="B1473" t="str">
            <v>302-004211</v>
          </cell>
          <cell r="C1473" t="str">
            <v>制成板-Atlas 800T A2-IT21HMDC_Bin5-昇腾910 AI</v>
          </cell>
          <cell r="D1473" t="str">
            <v>0302055457</v>
          </cell>
          <cell r="E1473" t="str">
            <v>NPU模组</v>
          </cell>
          <cell r="F1473">
            <v>6.3E-3</v>
          </cell>
          <cell r="G1473">
            <v>0</v>
          </cell>
          <cell r="I1473" t="str">
            <v>99-003292</v>
          </cell>
        </row>
        <row r="1474">
          <cell r="B1474" t="str">
            <v>302-004209</v>
          </cell>
          <cell r="C1474" t="str">
            <v>成品板-Atlas 800IA2-IT21SK4D-7265-AAI-Hi162</v>
          </cell>
          <cell r="D1474" t="str">
            <v>03050MJW</v>
          </cell>
          <cell r="E1474" t="str">
            <v>主板</v>
          </cell>
          <cell r="F1474">
            <v>8.5000000000000006E-3</v>
          </cell>
          <cell r="G1474">
            <v>0</v>
          </cell>
          <cell r="I1474" t="str">
            <v>99-004176</v>
          </cell>
        </row>
        <row r="1475">
          <cell r="B1475" t="str">
            <v>68-00154</v>
          </cell>
          <cell r="C1475" t="str">
            <v>自研海光3号服务器-4GPU机型阵列卡支架</v>
          </cell>
          <cell r="D1475" t="str">
            <v>空</v>
          </cell>
          <cell r="E1475" t="str">
            <v>其他部件</v>
          </cell>
          <cell r="F1475">
            <v>3.0999999999999999E-3</v>
          </cell>
          <cell r="G1475">
            <v>0</v>
          </cell>
        </row>
        <row r="1476">
          <cell r="B1476" t="str">
            <v>68-00218</v>
          </cell>
          <cell r="C1476" t="str">
            <v>自研海光3号服务器-4GPU-BR104P-12支架</v>
          </cell>
          <cell r="D1476" t="str">
            <v>空</v>
          </cell>
          <cell r="E1476" t="str">
            <v>其他部件</v>
          </cell>
          <cell r="F1476">
            <v>3.0999999999999999E-3</v>
          </cell>
          <cell r="G1476">
            <v>0</v>
          </cell>
        </row>
        <row r="1477">
          <cell r="B1477" t="str">
            <v>68-00219</v>
          </cell>
          <cell r="C1477" t="str">
            <v>自研海光3号服务器-4GPU-BR104P-34支架</v>
          </cell>
          <cell r="D1477" t="str">
            <v>空</v>
          </cell>
          <cell r="E1477" t="str">
            <v>其他部件</v>
          </cell>
          <cell r="F1477">
            <v>3.0999999999999999E-3</v>
          </cell>
          <cell r="G1477">
            <v>0</v>
          </cell>
        </row>
        <row r="1478">
          <cell r="B1478" t="str">
            <v>302-004213</v>
          </cell>
          <cell r="C1478" t="str">
            <v>制成板-S920X20-BC83SMMBC-天池扩展板-1*1</v>
          </cell>
          <cell r="D1478">
            <v>302044492</v>
          </cell>
          <cell r="E1478" t="str">
            <v>机箱/硬盘背板</v>
          </cell>
          <cell r="F1478">
            <v>2.8999999999999998E-3</v>
          </cell>
          <cell r="G1478">
            <v>0</v>
          </cell>
        </row>
        <row r="1479">
          <cell r="B1479" t="str">
            <v>302-004212</v>
          </cell>
          <cell r="C1479" t="str">
            <v>Hi1711 BMC插卡</v>
          </cell>
          <cell r="D1479">
            <v>302044493</v>
          </cell>
          <cell r="E1479" t="str">
            <v>小板</v>
          </cell>
          <cell r="F1479">
            <v>8.5000000000000006E-3</v>
          </cell>
          <cell r="G1479">
            <v>0</v>
          </cell>
        </row>
        <row r="1480">
          <cell r="B1480" t="str">
            <v>302-004226</v>
          </cell>
          <cell r="C1480" t="str">
            <v>制成板-TS200 2280-BC82HBBS-TS200 2280 8盘硬盘背板-Board ID 0x7C-1*2</v>
          </cell>
          <cell r="D1480">
            <v>302020225</v>
          </cell>
          <cell r="E1480" t="str">
            <v>机箱/硬盘背板</v>
          </cell>
          <cell r="F1480">
            <v>2.8999999999999998E-3</v>
          </cell>
          <cell r="G1480">
            <v>0</v>
          </cell>
        </row>
        <row r="1481">
          <cell r="B1481" t="str">
            <v>302-004222</v>
          </cell>
          <cell r="C1481" t="str">
            <v>网卡-25GE-64bit-SFP28-2-PCIE 3.0 x8-Vendor</v>
          </cell>
          <cell r="D1481" t="str">
            <v>06310292</v>
          </cell>
          <cell r="E1481" t="str">
            <v>网卡</v>
          </cell>
          <cell r="F1481">
            <v>5.7999999999999996E-3</v>
          </cell>
          <cell r="G1481">
            <v>0</v>
          </cell>
          <cell r="I1481" t="str">
            <v>99-000910</v>
          </cell>
        </row>
        <row r="1482">
          <cell r="B1482" t="str">
            <v>302-004223</v>
          </cell>
          <cell r="C1482" t="str">
            <v>SP382以太网卡-25GE光口-双端口-SFP28(不含光模块)-PCIE 3.0 x8-Vendor</v>
          </cell>
          <cell r="D1482" t="str">
            <v>03026PUN</v>
          </cell>
          <cell r="E1482" t="str">
            <v>网卡</v>
          </cell>
          <cell r="F1482">
            <v>5.7999999999999996E-3</v>
          </cell>
          <cell r="G1482">
            <v>0</v>
          </cell>
          <cell r="I1482" t="str">
            <v>99-000910</v>
          </cell>
        </row>
        <row r="1483">
          <cell r="B1483" t="str">
            <v>302-004224</v>
          </cell>
          <cell r="C1483" t="str">
            <v>高速电缆-内部PCIe高速线缆-0.335m</v>
          </cell>
          <cell r="D1483" t="str">
            <v>04052648</v>
          </cell>
          <cell r="E1483" t="str">
            <v>线缆</v>
          </cell>
          <cell r="F1483">
            <v>2E-3</v>
          </cell>
          <cell r="G1483">
            <v>0</v>
          </cell>
        </row>
        <row r="1484">
          <cell r="B1484" t="str">
            <v>302-004217</v>
          </cell>
          <cell r="C1484" t="str">
            <v>高速电缆-内部PCIe高速线缆-0.2m</v>
          </cell>
          <cell r="D1484" t="str">
            <v>04052304-008</v>
          </cell>
          <cell r="E1484" t="str">
            <v>线缆</v>
          </cell>
          <cell r="F1484">
            <v>2E-3</v>
          </cell>
          <cell r="G1484">
            <v>0</v>
          </cell>
        </row>
        <row r="1485">
          <cell r="B1485" t="str">
            <v>302-004218</v>
          </cell>
          <cell r="C1485" t="str">
            <v>高速电缆-内部PCIe高速线缆-0.335m</v>
          </cell>
          <cell r="D1485" t="str">
            <v>04052654</v>
          </cell>
          <cell r="E1485" t="str">
            <v>线缆</v>
          </cell>
          <cell r="F1485">
            <v>2E-3</v>
          </cell>
          <cell r="G1485">
            <v>0</v>
          </cell>
        </row>
        <row r="1486">
          <cell r="B1486" t="str">
            <v>302-004219</v>
          </cell>
          <cell r="C1486" t="str">
            <v>内部高速线缆-0.99&amp;0.77&amp;0.94&amp;0.78m</v>
          </cell>
          <cell r="D1486" t="str">
            <v>1999016KNH</v>
          </cell>
          <cell r="E1486" t="str">
            <v>线缆</v>
          </cell>
          <cell r="F1486">
            <v>2E-3</v>
          </cell>
          <cell r="G1486">
            <v>6</v>
          </cell>
        </row>
        <row r="1487">
          <cell r="B1487" t="str">
            <v>302-004220</v>
          </cell>
          <cell r="C1487" t="str">
            <v>电源电缆-0.105m&amp;0.085m-红/黑-80A弯头快插连接器-10mm²-硅橡胶裸铜导体-裸压端子</v>
          </cell>
          <cell r="D1487" t="str">
            <v>04154117-001</v>
          </cell>
          <cell r="E1487" t="str">
            <v>线缆</v>
          </cell>
          <cell r="F1487">
            <v>2E-3</v>
          </cell>
          <cell r="G1487">
            <v>0</v>
          </cell>
        </row>
        <row r="1488">
          <cell r="B1488" t="str">
            <v>302-004221</v>
          </cell>
          <cell r="C1488" t="str">
            <v>电源电缆-0.7m-黑-80A弯头快插连接器-5*18UL2651-80A弯头快插连接器</v>
          </cell>
          <cell r="D1488" t="str">
            <v>04154103-002</v>
          </cell>
          <cell r="E1488" t="str">
            <v>线缆</v>
          </cell>
          <cell r="F1488">
            <v>2E-3</v>
          </cell>
          <cell r="G1488">
            <v>0</v>
          </cell>
        </row>
        <row r="1489">
          <cell r="B1489" t="str">
            <v>302-004225</v>
          </cell>
          <cell r="C1489" t="str">
            <v>高速板对板连接器模组-74-UBC 8X 直式-UBC 8X 直式-120mm-0.16mm-10mm-5000MB/s-1.57mm-电缆安装型-低成本 5Gbps 线缆-是</v>
          </cell>
          <cell r="D1489">
            <v>14270175</v>
          </cell>
          <cell r="E1489" t="str">
            <v>线缆</v>
          </cell>
          <cell r="F1489">
            <v>2E-3</v>
          </cell>
          <cell r="G1489">
            <v>0</v>
          </cell>
        </row>
        <row r="1490">
          <cell r="B1490" t="str">
            <v>302-003651</v>
          </cell>
          <cell r="C1490" t="str">
            <v>NVMeSSD ES3500PV6-3.84T-PCIe4-2.5读取HW1.2</v>
          </cell>
          <cell r="D1490" t="str">
            <v>02551078</v>
          </cell>
          <cell r="E1490" t="str">
            <v>硬盘</v>
          </cell>
          <cell r="F1490">
            <v>5.4999999999999997E-3</v>
          </cell>
          <cell r="G1490">
            <v>504</v>
          </cell>
          <cell r="I1490" t="str">
            <v>99-003404</v>
          </cell>
        </row>
        <row r="1491">
          <cell r="B1491" t="str">
            <v>302-003646</v>
          </cell>
          <cell r="C1491" t="str">
            <v>SSD DTS510S20-480G-SATA2.5读取DT-[AVAP]</v>
          </cell>
          <cell r="D1491" t="str">
            <v>J480GSBLYAC4CDED90</v>
          </cell>
          <cell r="E1491" t="str">
            <v>硬盘</v>
          </cell>
          <cell r="F1491">
            <v>5.4999999999999997E-3</v>
          </cell>
          <cell r="G1491">
            <v>1482</v>
          </cell>
        </row>
        <row r="1492">
          <cell r="B1492" t="str">
            <v>302-003952</v>
          </cell>
          <cell r="C1492" t="str">
            <v>SSD D300Y-1.92T-SATA 2.5 读取 HK-[AVAP]</v>
          </cell>
          <cell r="D1492" t="str">
            <v>D03dBB8AA1920GC00</v>
          </cell>
          <cell r="E1492" t="str">
            <v>硬盘</v>
          </cell>
          <cell r="F1492">
            <v>5.4999999999999997E-3</v>
          </cell>
          <cell r="G1492">
            <v>1920</v>
          </cell>
          <cell r="I1492" t="str">
            <v>99-003647</v>
          </cell>
        </row>
        <row r="1493">
          <cell r="B1493" t="str">
            <v>302-004020</v>
          </cell>
          <cell r="C1493" t="str">
            <v>S电源线国标-墙插电源线-C13直母-250V10A-5m黑-交流 HW</v>
          </cell>
          <cell r="D1493" t="str">
            <v>04050206-001</v>
          </cell>
          <cell r="E1493" t="str">
            <v>电源线</v>
          </cell>
          <cell r="F1493">
            <v>2E-3</v>
          </cell>
          <cell r="G1493">
            <v>1742</v>
          </cell>
          <cell r="I1493" t="str">
            <v>99-002131</v>
          </cell>
        </row>
        <row r="1494">
          <cell r="B1494" t="str">
            <v>302-004132</v>
          </cell>
          <cell r="C1494" t="str">
            <v>监控和告警电缆-NCSI-信号线-0.28m</v>
          </cell>
          <cell r="D1494" t="str">
            <v>04080788-002</v>
          </cell>
          <cell r="E1494" t="str">
            <v>线缆</v>
          </cell>
          <cell r="F1494">
            <v>2E-3</v>
          </cell>
          <cell r="G1494">
            <v>0</v>
          </cell>
        </row>
        <row r="1495">
          <cell r="B1495" t="str">
            <v>302-004065</v>
          </cell>
          <cell r="C1495" t="str">
            <v>A722-1_ 8*2.5英寸硬盘机箱(BP),K22R-02(AC)-海外</v>
          </cell>
          <cell r="D1495" t="str">
            <v>02315FQA</v>
          </cell>
          <cell r="E1495" t="str">
            <v>机箱/硬盘背板</v>
          </cell>
          <cell r="F1495">
            <v>2.8999999999999998E-3</v>
          </cell>
          <cell r="G1495">
            <v>5</v>
          </cell>
        </row>
        <row r="1496">
          <cell r="B1496" t="str">
            <v>302-004069</v>
          </cell>
          <cell r="C1496" t="str">
            <v>DPU卡-SP925D-2*100G-QSFP28-Pcie4.0x16</v>
          </cell>
          <cell r="D1496" t="str">
            <v>02315FEN</v>
          </cell>
          <cell r="E1496" t="str">
            <v>DPU卡</v>
          </cell>
          <cell r="F1496">
            <v>6.3E-3</v>
          </cell>
          <cell r="G1496">
            <v>0</v>
          </cell>
        </row>
        <row r="1497">
          <cell r="B1497" t="str">
            <v>302-003576</v>
          </cell>
          <cell r="C1497" t="str">
            <v>S主板 S920X10-2*5251R-A (48C@2.5)</v>
          </cell>
          <cell r="D1497" t="str">
            <v>03050PHY</v>
          </cell>
          <cell r="E1497" t="str">
            <v>主板</v>
          </cell>
          <cell r="F1497">
            <v>8.5000000000000006E-3</v>
          </cell>
          <cell r="G1497">
            <v>4</v>
          </cell>
        </row>
        <row r="1498">
          <cell r="B1498" t="str">
            <v>302-003966</v>
          </cell>
          <cell r="C1498" t="str">
            <v>国产化器件常温310P模组</v>
          </cell>
          <cell r="D1498" t="str">
            <v>ED41MOD310P-国产化-常温</v>
          </cell>
          <cell r="E1498" t="str">
            <v>Riser模组</v>
          </cell>
          <cell r="F1498">
            <v>5.0000000000000001E-3</v>
          </cell>
          <cell r="G1498">
            <v>3</v>
          </cell>
        </row>
        <row r="1499">
          <cell r="B1499" t="str">
            <v>302-004051</v>
          </cell>
          <cell r="C1499" t="str">
            <v>港奇12V电源适配器</v>
          </cell>
          <cell r="D1499" t="str">
            <v>GQ150A-1201000-E1</v>
          </cell>
          <cell r="E1499" t="str">
            <v>电源</v>
          </cell>
          <cell r="F1499">
            <v>5.0000000000000001E-3</v>
          </cell>
          <cell r="G1499">
            <v>6</v>
          </cell>
        </row>
        <row r="1500">
          <cell r="B1500" t="str">
            <v>307-000014</v>
          </cell>
          <cell r="C1500" t="str">
            <v>S5736-S48T4XC 交换机</v>
          </cell>
          <cell r="D1500" t="str">
            <v>98011026-001</v>
          </cell>
          <cell r="E1500" t="str">
            <v>交换机</v>
          </cell>
          <cell r="F1500">
            <v>5.0000000000000001E-3</v>
          </cell>
          <cell r="G1500">
            <v>0</v>
          </cell>
        </row>
        <row r="1501">
          <cell r="B1501" t="str">
            <v>307-000010</v>
          </cell>
          <cell r="C1501" t="str">
            <v>交换机PAC150S12-R 交流电源</v>
          </cell>
          <cell r="D1501" t="str">
            <v>02312DUY</v>
          </cell>
          <cell r="E1501" t="str">
            <v>电源</v>
          </cell>
          <cell r="F1501">
            <v>5.0000000000000001E-3</v>
          </cell>
          <cell r="G1501">
            <v>0</v>
          </cell>
        </row>
        <row r="1502">
          <cell r="B1502" t="str">
            <v>307-000023</v>
          </cell>
          <cell r="C1502" t="str">
            <v>交换机PAC600S12-EB 交流电源</v>
          </cell>
          <cell r="D1502" t="str">
            <v>02312FFU-002</v>
          </cell>
          <cell r="E1502" t="str">
            <v>电源</v>
          </cell>
          <cell r="F1502">
            <v>5.0000000000000001E-3</v>
          </cell>
          <cell r="G1502">
            <v>0</v>
          </cell>
        </row>
        <row r="1503">
          <cell r="B1503" t="str">
            <v>307-000024</v>
          </cell>
          <cell r="C1503" t="str">
            <v>交换机FAN-031A-B 风机盒</v>
          </cell>
          <cell r="D1503" t="str">
            <v>02352CAB</v>
          </cell>
          <cell r="E1503" t="str">
            <v>其他部件</v>
          </cell>
          <cell r="F1503">
            <v>3.0999999999999999E-3</v>
          </cell>
          <cell r="G1503">
            <v>0</v>
          </cell>
        </row>
        <row r="1504">
          <cell r="B1504" t="str">
            <v>307-000011</v>
          </cell>
          <cell r="C1504" t="str">
            <v>CE6857F-48S6CQ-J 交换机</v>
          </cell>
          <cell r="D1504" t="str">
            <v>02355VPS/54HPX-003</v>
          </cell>
          <cell r="E1504" t="str">
            <v>交换机</v>
          </cell>
          <cell r="F1504">
            <v>5.0000000000000001E-3</v>
          </cell>
          <cell r="G1504">
            <v>0</v>
          </cell>
        </row>
        <row r="1505">
          <cell r="B1505" t="str">
            <v>302-000572</v>
          </cell>
          <cell r="C1505" t="str">
            <v>S内存DDR4-64G-2933-2Rank(4G*4bit)备 HLS</v>
          </cell>
          <cell r="D1505" t="str">
            <v>02312VWL=</v>
          </cell>
          <cell r="E1505" t="str">
            <v>内存</v>
          </cell>
          <cell r="F1505">
            <v>2E-3</v>
          </cell>
          <cell r="G1505">
            <v>0</v>
          </cell>
          <cell r="I1505" t="str">
            <v>99-001020</v>
          </cell>
        </row>
        <row r="1506">
          <cell r="B1506" t="str">
            <v>304-000492</v>
          </cell>
          <cell r="C1506" t="str">
            <v>A924典配L6-4*920 2.6G 8*910_4_1 2Nvme 64G</v>
          </cell>
          <cell r="D1506" t="str">
            <v>02315AFL</v>
          </cell>
          <cell r="E1506" t="str">
            <v>L6典配</v>
          </cell>
          <cell r="F1506">
            <v>2.8999999999999998E-3</v>
          </cell>
          <cell r="G1506">
            <v>108</v>
          </cell>
        </row>
        <row r="1507">
          <cell r="B1507" t="str">
            <v>302-004236</v>
          </cell>
          <cell r="C1507" t="str">
            <v>前排NPU芯片到后排NPU芯片之间连线。0.42M</v>
          </cell>
          <cell r="D1507">
            <v>99095368</v>
          </cell>
          <cell r="E1507" t="str">
            <v>线缆</v>
          </cell>
          <cell r="F1507">
            <v>2E-3</v>
          </cell>
          <cell r="G1507">
            <v>0</v>
          </cell>
          <cell r="I1507" t="str">
            <v>99-003771</v>
          </cell>
        </row>
        <row r="1508">
          <cell r="B1508" t="str">
            <v>302-003341</v>
          </cell>
          <cell r="C1508" t="str">
            <v>海光-主板到6GPU-RISER3,高速Slim线缆,弯对直,550mm,A1toA1</v>
          </cell>
          <cell r="D1508" t="str">
            <v>HG3MB-6R3-SL0550R</v>
          </cell>
          <cell r="E1508" t="str">
            <v>线缆</v>
          </cell>
          <cell r="F1508">
            <v>2E-3</v>
          </cell>
          <cell r="G1508">
            <v>0</v>
          </cell>
        </row>
        <row r="1509">
          <cell r="B1509" t="str">
            <v>302-003342</v>
          </cell>
          <cell r="C1509" t="str">
            <v>海光-主板到6GPU-RISER2,高速Slim线缆,直对直,360mm,A1toA1</v>
          </cell>
          <cell r="D1509" t="str">
            <v>HG3MB-6R2-SLIM0360</v>
          </cell>
          <cell r="E1509" t="str">
            <v>线缆</v>
          </cell>
          <cell r="F1509">
            <v>2E-3</v>
          </cell>
          <cell r="G1509">
            <v>0</v>
          </cell>
        </row>
        <row r="1510">
          <cell r="B1510" t="str">
            <v>302-003343</v>
          </cell>
          <cell r="C1510" t="str">
            <v>海光-主板到6GPU-RISER1,高速Slim线缆,直对直,340mm,A1toA1</v>
          </cell>
          <cell r="D1510" t="str">
            <v>HG3MB-6R1-SLIM0340</v>
          </cell>
          <cell r="E1510" t="str">
            <v>线缆</v>
          </cell>
          <cell r="F1510">
            <v>2E-3</v>
          </cell>
          <cell r="G1510">
            <v>0</v>
          </cell>
        </row>
        <row r="1511">
          <cell r="B1511" t="str">
            <v>302-003344</v>
          </cell>
          <cell r="C1511" t="str">
            <v>海光-主板到6GPU-RISER1,高速Slim线缆,弯对直,250mm,A1toA1</v>
          </cell>
          <cell r="D1511" t="str">
            <v>HG3MB-6R1-SL0250R</v>
          </cell>
          <cell r="E1511" t="str">
            <v>线缆</v>
          </cell>
          <cell r="F1511">
            <v>2E-3</v>
          </cell>
          <cell r="G1511">
            <v>0</v>
          </cell>
        </row>
        <row r="1512">
          <cell r="B1512" t="str">
            <v>302-003515</v>
          </cell>
          <cell r="C1512" t="str">
            <v>海光-电源模块,标准CRPS,1300W,AC转DC12V,高斯宝G1136-1300WNA</v>
          </cell>
          <cell r="D1512" t="str">
            <v>G1136-1300WNA</v>
          </cell>
          <cell r="E1512" t="str">
            <v>电源</v>
          </cell>
          <cell r="F1512">
            <v>5.0000000000000001E-3</v>
          </cell>
          <cell r="G1512">
            <v>0</v>
          </cell>
        </row>
        <row r="1513">
          <cell r="B1513" t="str">
            <v>302-003631</v>
          </cell>
          <cell r="C1513" t="str">
            <v>海光-主板到前置硬盘背板SlimSAS转MiniSAS,SATAx4,900mm</v>
          </cell>
          <cell r="D1513" t="str">
            <v>HG3MB-CPU4SATA0900</v>
          </cell>
          <cell r="E1513" t="str">
            <v>线缆</v>
          </cell>
          <cell r="F1513">
            <v>2E-3</v>
          </cell>
          <cell r="G1513">
            <v>0</v>
          </cell>
        </row>
        <row r="1514">
          <cell r="B1514" t="str">
            <v>302-002291</v>
          </cell>
          <cell r="C1514" t="str">
            <v>S内存DDR4-32G-2933-2Rx4-RD ZG V1.0-LJ</v>
          </cell>
          <cell r="D1514" t="str">
            <v>SCQ32GP12H1F1C-29Y-1</v>
          </cell>
          <cell r="E1514" t="str">
            <v>内存</v>
          </cell>
          <cell r="F1514">
            <v>2E-3</v>
          </cell>
          <cell r="G1514">
            <v>0</v>
          </cell>
          <cell r="I1514" t="str">
            <v>99-000375</v>
          </cell>
        </row>
        <row r="1515">
          <cell r="B1515" t="str">
            <v>302-002360</v>
          </cell>
          <cell r="C1515" t="str">
            <v>900W 交流电源-LJ</v>
          </cell>
          <cell r="D1515" t="str">
            <v>02311TLF-1</v>
          </cell>
          <cell r="E1515" t="str">
            <v>电源</v>
          </cell>
          <cell r="F1515">
            <v>5.0000000000000001E-3</v>
          </cell>
          <cell r="G1515">
            <v>0</v>
          </cell>
          <cell r="I1515" t="str">
            <v>99-000448</v>
          </cell>
        </row>
        <row r="1516">
          <cell r="B1516" t="str">
            <v>302-002375</v>
          </cell>
          <cell r="C1516" t="str">
            <v>#S主板S920X00K-2*7261K(64C@2.6)-AD-1710-LJ</v>
          </cell>
          <cell r="D1516" t="str">
            <v>03050AMU-1</v>
          </cell>
          <cell r="E1516" t="str">
            <v>主板</v>
          </cell>
          <cell r="F1516">
            <v>8.5000000000000006E-3</v>
          </cell>
          <cell r="G1516">
            <v>0</v>
          </cell>
          <cell r="I1516" t="str">
            <v>99-000706</v>
          </cell>
        </row>
        <row r="1517">
          <cell r="B1517" t="str">
            <v>302-003113</v>
          </cell>
          <cell r="C1517" t="str">
            <v>网卡10Gb(MellanoxMT27712A0)DP(无模）-LJ</v>
          </cell>
          <cell r="D1517">
            <v>2570045</v>
          </cell>
          <cell r="E1517" t="str">
            <v>网卡</v>
          </cell>
          <cell r="F1517">
            <v>5.7999999999999996E-3</v>
          </cell>
          <cell r="G1517">
            <v>0</v>
          </cell>
          <cell r="I1517" t="str">
            <v>99-000756</v>
          </cell>
        </row>
        <row r="1518">
          <cell r="B1518" t="str">
            <v>302-004015</v>
          </cell>
          <cell r="C1518" t="str">
            <v>服务器电源PAC2000S12-T3-钛金2000W Si版本交流 02314V</v>
          </cell>
          <cell r="D1518" t="str">
            <v>02314VNQ</v>
          </cell>
          <cell r="E1518" t="str">
            <v>电源</v>
          </cell>
          <cell r="F1518">
            <v>5.0000000000000001E-3</v>
          </cell>
          <cell r="G1518">
            <v>26</v>
          </cell>
        </row>
        <row r="1519">
          <cell r="B1519" t="str">
            <v>302-004041</v>
          </cell>
          <cell r="C1519" t="str">
            <v>内存DDR5-32G-4800-2Rx8-RD-HLS-HW</v>
          </cell>
          <cell r="D1519" t="str">
            <v>02510205</v>
          </cell>
          <cell r="E1519" t="str">
            <v>内存</v>
          </cell>
          <cell r="F1519">
            <v>2E-3</v>
          </cell>
          <cell r="G1519">
            <v>0</v>
          </cell>
        </row>
        <row r="1520">
          <cell r="B1520" t="str">
            <v>302-000355</v>
          </cell>
          <cell r="C1520" t="str">
            <v>机箱 36*3.5硬盘EXP 4U2P,K42R-02</v>
          </cell>
          <cell r="D1520" t="str">
            <v>02313CCF</v>
          </cell>
          <cell r="E1520" t="str">
            <v>机箱/硬盘背板</v>
          </cell>
          <cell r="F1520">
            <v>2.8999999999999998E-3</v>
          </cell>
          <cell r="G1520">
            <v>0</v>
          </cell>
          <cell r="I1520" t="str">
            <v>88-000021</v>
          </cell>
        </row>
        <row r="1521">
          <cell r="B1521" t="str">
            <v>302-000402</v>
          </cell>
          <cell r="C1521" t="str">
            <v>机箱 36*3.5硬盘EXP-BC8M09AMDD-移动 S4K</v>
          </cell>
          <cell r="D1521">
            <v>2301645</v>
          </cell>
          <cell r="E1521" t="str">
            <v>机箱/硬盘背板</v>
          </cell>
          <cell r="F1521">
            <v>2.8999999999999998E-3</v>
          </cell>
          <cell r="G1521">
            <v>0</v>
          </cell>
          <cell r="I1521" t="str">
            <v>88-000021</v>
          </cell>
        </row>
        <row r="1522">
          <cell r="B1522" t="str">
            <v>302-000356</v>
          </cell>
          <cell r="C1522" t="str">
            <v>机箱 25*2.5英寸硬盘EXP,K22K-02 1620S</v>
          </cell>
          <cell r="D1522" t="str">
            <v>02313CCQ</v>
          </cell>
          <cell r="E1522" t="str">
            <v>机箱/硬盘背板</v>
          </cell>
          <cell r="F1522">
            <v>2.8999999999999998E-3</v>
          </cell>
          <cell r="G1522">
            <v>0</v>
          </cell>
          <cell r="I1522" t="str">
            <v>88-000289</v>
          </cell>
        </row>
        <row r="1523">
          <cell r="B1523" t="str">
            <v>302-000358</v>
          </cell>
          <cell r="C1523" t="str">
            <v>机箱 12*3.5硬盘直通 2U2P,K22R-02</v>
          </cell>
          <cell r="D1523" t="str">
            <v>02313CCP</v>
          </cell>
          <cell r="E1523" t="str">
            <v>机箱/硬盘背板</v>
          </cell>
          <cell r="F1523">
            <v>2.8999999999999998E-3</v>
          </cell>
          <cell r="G1523">
            <v>0</v>
          </cell>
          <cell r="I1523" t="str">
            <v>88-000296</v>
          </cell>
        </row>
        <row r="1524">
          <cell r="B1524" t="str">
            <v>302-000015</v>
          </cell>
          <cell r="C1524" t="str">
            <v>机箱 12*3.5硬盘直通 2U2P,K22R-02 1620S</v>
          </cell>
          <cell r="D1524" t="str">
            <v>02312YSY</v>
          </cell>
          <cell r="E1524" t="str">
            <v>机箱/硬盘背板</v>
          </cell>
          <cell r="F1524">
            <v>2.8999999999999998E-3</v>
          </cell>
          <cell r="G1524">
            <v>0</v>
          </cell>
          <cell r="I1524" t="str">
            <v>88-000296</v>
          </cell>
        </row>
        <row r="1525">
          <cell r="B1525" t="str">
            <v>309-000348</v>
          </cell>
          <cell r="C1525" t="str">
            <v>2*2.5"后置硬盘背板组件(OEM专用)</v>
          </cell>
          <cell r="D1525" t="str">
            <v>空</v>
          </cell>
          <cell r="E1525" t="str">
            <v>后置硬盘背板</v>
          </cell>
          <cell r="F1525">
            <v>2.8999999999999998E-3</v>
          </cell>
          <cell r="G1525">
            <v>0</v>
          </cell>
          <cell r="I1525" t="str">
            <v>99-000143</v>
          </cell>
        </row>
        <row r="1526">
          <cell r="B1526" t="str">
            <v>309-000349</v>
          </cell>
          <cell r="C1526" t="str">
            <v>2*3.5"后置硬盘背板组件(OEM专用)</v>
          </cell>
          <cell r="D1526" t="str">
            <v>空</v>
          </cell>
          <cell r="E1526" t="str">
            <v>后置硬盘背板</v>
          </cell>
          <cell r="F1526">
            <v>2.8999999999999998E-3</v>
          </cell>
          <cell r="G1526">
            <v>0</v>
          </cell>
          <cell r="I1526" t="str">
            <v>99-000144</v>
          </cell>
        </row>
        <row r="1527">
          <cell r="B1527" t="str">
            <v>309-000350</v>
          </cell>
          <cell r="C1527" t="str">
            <v>硬盘背板组件 PSU 4*2.5寸支持NVME</v>
          </cell>
          <cell r="D1527" t="str">
            <v>02312VXS-1,02312VXS</v>
          </cell>
          <cell r="E1527" t="str">
            <v>后置硬盘背板</v>
          </cell>
          <cell r="F1527">
            <v>2.8999999999999998E-3</v>
          </cell>
          <cell r="G1527">
            <v>329</v>
          </cell>
          <cell r="I1527" t="str">
            <v>99-000146</v>
          </cell>
        </row>
        <row r="1528">
          <cell r="B1528" t="str">
            <v>309-000351</v>
          </cell>
          <cell r="C1528" t="str">
            <v>Riser1&amp;2模组 3*16X(X8)</v>
          </cell>
          <cell r="D1528" t="str">
            <v>02312VXU</v>
          </cell>
          <cell r="E1528" t="str">
            <v>Riser模组</v>
          </cell>
          <cell r="F1528">
            <v>5.0000000000000001E-3</v>
          </cell>
          <cell r="G1528">
            <v>0</v>
          </cell>
          <cell r="I1528" t="str">
            <v>99-000147</v>
          </cell>
        </row>
        <row r="1529">
          <cell r="B1529" t="str">
            <v>309-000342</v>
          </cell>
          <cell r="C1529" t="str">
            <v>Riser1&amp;2模组 16X(X16)+16X(X8)</v>
          </cell>
          <cell r="D1529" t="str">
            <v>空</v>
          </cell>
          <cell r="E1529" t="str">
            <v>Riser模组</v>
          </cell>
          <cell r="F1529">
            <v>5.0000000000000001E-3</v>
          </cell>
          <cell r="G1529">
            <v>0</v>
          </cell>
          <cell r="I1529" t="str">
            <v>99-000148</v>
          </cell>
        </row>
        <row r="1530">
          <cell r="B1530" t="str">
            <v>309-000352</v>
          </cell>
          <cell r="C1530" t="str">
            <v>Riser3模组 2*16X(X8)</v>
          </cell>
          <cell r="D1530" t="str">
            <v>02312VXW-1,02312VXW</v>
          </cell>
          <cell r="E1530" t="str">
            <v>Riser模组</v>
          </cell>
          <cell r="F1530">
            <v>5.0000000000000001E-3</v>
          </cell>
          <cell r="G1530">
            <v>0</v>
          </cell>
          <cell r="I1530" t="str">
            <v>99-000149</v>
          </cell>
        </row>
        <row r="1531">
          <cell r="B1531" t="str">
            <v>309-000353</v>
          </cell>
          <cell r="C1531" t="str">
            <v>Riser3模组 16X(X16)</v>
          </cell>
          <cell r="D1531" t="str">
            <v>空</v>
          </cell>
          <cell r="E1531" t="str">
            <v>Riser模组</v>
          </cell>
          <cell r="F1531">
            <v>5.0000000000000001E-3</v>
          </cell>
          <cell r="G1531">
            <v>0</v>
          </cell>
          <cell r="I1531" t="str">
            <v>99-000150</v>
          </cell>
        </row>
        <row r="1532">
          <cell r="B1532" t="str">
            <v>309-000340</v>
          </cell>
          <cell r="C1532" t="str">
            <v>Riser模组 2*2.5后置硬盘背板+1*16X</v>
          </cell>
          <cell r="D1532" t="str">
            <v>空</v>
          </cell>
          <cell r="E1532" t="str">
            <v>Riser模组</v>
          </cell>
          <cell r="F1532">
            <v>5.0000000000000001E-3</v>
          </cell>
          <cell r="G1532">
            <v>0</v>
          </cell>
          <cell r="I1532" t="str">
            <v>99-000151</v>
          </cell>
        </row>
        <row r="1533">
          <cell r="B1533" t="str">
            <v>309-000354</v>
          </cell>
          <cell r="C1533" t="str">
            <v>Riser1&amp;2模组 2*2.5"后背板+1*16X(X8)</v>
          </cell>
          <cell r="D1533" t="str">
            <v>空</v>
          </cell>
          <cell r="E1533" t="str">
            <v>Riser模组</v>
          </cell>
          <cell r="F1533">
            <v>5.0000000000000001E-3</v>
          </cell>
          <cell r="G1533">
            <v>0</v>
          </cell>
          <cell r="I1533" t="str">
            <v>99-000151</v>
          </cell>
        </row>
        <row r="1534">
          <cell r="B1534" t="str">
            <v>309-000336</v>
          </cell>
          <cell r="C1534" t="str">
            <v>4*SAS/SATA/NVME后置硬盘背板-R72X/R52X</v>
          </cell>
          <cell r="D1534" t="str">
            <v>空</v>
          </cell>
          <cell r="E1534" t="str">
            <v>后置硬盘背板</v>
          </cell>
          <cell r="F1534">
            <v>2.8999999999999998E-3</v>
          </cell>
          <cell r="G1534">
            <v>0</v>
          </cell>
          <cell r="I1534" t="str">
            <v>99-000297</v>
          </cell>
        </row>
        <row r="1535">
          <cell r="B1535" t="str">
            <v>309-000338</v>
          </cell>
          <cell r="C1535" t="str">
            <v>RISER1模组-2*2.5"后置硬盘背板+16X-SAS RISER专用</v>
          </cell>
          <cell r="D1535" t="str">
            <v>空</v>
          </cell>
          <cell r="E1535" t="str">
            <v>Riser模组</v>
          </cell>
          <cell r="F1535">
            <v>5.0000000000000001E-3</v>
          </cell>
          <cell r="G1535">
            <v>0</v>
          </cell>
          <cell r="I1535" t="str">
            <v>99-000346</v>
          </cell>
        </row>
        <row r="1536">
          <cell r="B1536" t="str">
            <v>309-000337</v>
          </cell>
          <cell r="C1536" t="str">
            <v>功能模块-2288H V5-BC1M05FAN-8038+ 风扇-风扇框</v>
          </cell>
          <cell r="D1536" t="str">
            <v>空</v>
          </cell>
          <cell r="E1536" t="str">
            <v>风扇</v>
          </cell>
          <cell r="F1536">
            <v>2.8999999999999998E-3</v>
          </cell>
          <cell r="G1536">
            <v>0</v>
          </cell>
          <cell r="I1536" t="str">
            <v>99-000434</v>
          </cell>
        </row>
        <row r="1537">
          <cell r="B1537" t="str">
            <v>302-000110</v>
          </cell>
          <cell r="C1537" t="str">
            <v>硬盘6T-SATA 6Gb/s-7.2K-3.5及托 备</v>
          </cell>
          <cell r="D1537" t="str">
            <v>02540007=</v>
          </cell>
          <cell r="E1537" t="str">
            <v>硬盘</v>
          </cell>
          <cell r="F1537">
            <v>5.4999999999999997E-3</v>
          </cell>
          <cell r="G1537">
            <v>0</v>
          </cell>
          <cell r="I1537" t="str">
            <v>99-000646</v>
          </cell>
        </row>
        <row r="1538">
          <cell r="B1538" t="str">
            <v>302-000129</v>
          </cell>
          <cell r="C1538" t="str">
            <v>硬盘2400G-SAS 12Gb/s-10K-2.5及3.5托</v>
          </cell>
          <cell r="D1538" t="str">
            <v>02540006</v>
          </cell>
          <cell r="E1538" t="str">
            <v>硬盘</v>
          </cell>
          <cell r="F1538">
            <v>5.4999999999999997E-3</v>
          </cell>
          <cell r="G1538">
            <v>0</v>
          </cell>
          <cell r="I1538" t="str">
            <v>99-000781</v>
          </cell>
        </row>
        <row r="1539">
          <cell r="B1539" t="str">
            <v>302-000130</v>
          </cell>
          <cell r="C1539" t="str">
            <v>硬盘2400G-SAS 12Gb/s10K-2.5及3.5托备</v>
          </cell>
          <cell r="D1539" t="str">
            <v>02540006=</v>
          </cell>
          <cell r="E1539" t="str">
            <v>硬盘</v>
          </cell>
          <cell r="F1539">
            <v>5.4999999999999997E-3</v>
          </cell>
          <cell r="G1539">
            <v>0</v>
          </cell>
          <cell r="I1539" t="str">
            <v>99-000781</v>
          </cell>
        </row>
        <row r="1540">
          <cell r="B1540" t="str">
            <v>302-000131</v>
          </cell>
          <cell r="C1540" t="str">
            <v>硬盘2400G-SAS 12Gb/s-10K-2.5及托</v>
          </cell>
          <cell r="D1540" t="str">
            <v>02540005</v>
          </cell>
          <cell r="E1540" t="str">
            <v>硬盘</v>
          </cell>
          <cell r="F1540">
            <v>5.4999999999999997E-3</v>
          </cell>
          <cell r="G1540">
            <v>0</v>
          </cell>
          <cell r="I1540" t="str">
            <v>99-000781</v>
          </cell>
        </row>
        <row r="1541">
          <cell r="B1541" t="str">
            <v>302-000132</v>
          </cell>
          <cell r="C1541" t="str">
            <v>硬盘2400G-SAS 12Gb/s-10K-2.5及托 备</v>
          </cell>
          <cell r="D1541" t="str">
            <v>02540005=</v>
          </cell>
          <cell r="E1541" t="str">
            <v>硬盘</v>
          </cell>
          <cell r="F1541">
            <v>5.4999999999999997E-3</v>
          </cell>
          <cell r="G1541">
            <v>0</v>
          </cell>
          <cell r="I1541" t="str">
            <v>99-000781</v>
          </cell>
        </row>
        <row r="1542">
          <cell r="B1542" t="str">
            <v>302-000361</v>
          </cell>
          <cell r="C1542" t="str">
            <v>硬盘14T-SATA 6Gb/s-7.2K-3.5托 备</v>
          </cell>
          <cell r="D1542" t="str">
            <v>2540008,2540008=</v>
          </cell>
          <cell r="E1542" t="str">
            <v>硬盘</v>
          </cell>
          <cell r="F1542">
            <v>5.4999999999999997E-3</v>
          </cell>
          <cell r="G1542">
            <v>0</v>
          </cell>
          <cell r="I1542" t="str">
            <v>99-001013</v>
          </cell>
        </row>
        <row r="1543">
          <cell r="B1543" t="str">
            <v>302-000125</v>
          </cell>
          <cell r="C1543" t="str">
            <v>硬盘1800G-SAS 12Gb/s-10K-2.5及3.5托</v>
          </cell>
          <cell r="D1543" t="str">
            <v>02312VWQ</v>
          </cell>
          <cell r="E1543" t="str">
            <v>硬盘</v>
          </cell>
          <cell r="F1543">
            <v>5.4999999999999997E-3</v>
          </cell>
          <cell r="G1543">
            <v>0</v>
          </cell>
          <cell r="I1543" t="str">
            <v>99-001039</v>
          </cell>
        </row>
        <row r="1544">
          <cell r="B1544" t="str">
            <v>302-000126</v>
          </cell>
          <cell r="C1544" t="str">
            <v>硬盘1800G-SAS 12Gb/s10K-2.5及3.5托备</v>
          </cell>
          <cell r="D1544" t="str">
            <v>02312VWQ=</v>
          </cell>
          <cell r="E1544" t="str">
            <v>硬盘</v>
          </cell>
          <cell r="F1544">
            <v>5.4999999999999997E-3</v>
          </cell>
          <cell r="G1544">
            <v>0</v>
          </cell>
          <cell r="I1544" t="str">
            <v>99-001039</v>
          </cell>
        </row>
        <row r="1545">
          <cell r="B1545" t="str">
            <v>302-000127</v>
          </cell>
          <cell r="C1545" t="str">
            <v>硬盘1800G-SAS 12Gb/s-10K 2.5及托</v>
          </cell>
          <cell r="D1545" t="str">
            <v>02312VWR</v>
          </cell>
          <cell r="E1545" t="str">
            <v>硬盘</v>
          </cell>
          <cell r="F1545">
            <v>5.4999999999999997E-3</v>
          </cell>
          <cell r="G1545">
            <v>0</v>
          </cell>
          <cell r="I1545" t="str">
            <v>99-001039</v>
          </cell>
        </row>
        <row r="1546">
          <cell r="B1546" t="str">
            <v>302-000128</v>
          </cell>
          <cell r="C1546" t="str">
            <v>硬盘1800G-SAS 12Gb/s-10K-2.5及托 备</v>
          </cell>
          <cell r="D1546" t="str">
            <v>02312VWR=</v>
          </cell>
          <cell r="E1546" t="str">
            <v>硬盘</v>
          </cell>
          <cell r="F1546">
            <v>5.4999999999999997E-3</v>
          </cell>
          <cell r="G1546">
            <v>0</v>
          </cell>
          <cell r="I1546" t="str">
            <v>99-001039</v>
          </cell>
        </row>
        <row r="1547">
          <cell r="B1547" t="str">
            <v>302-000121</v>
          </cell>
          <cell r="C1547" t="str">
            <v>硬盘1200G-SAS 12Gb/s-10K-2.5及3.5托</v>
          </cell>
          <cell r="D1547" t="str">
            <v>02312VWN</v>
          </cell>
          <cell r="E1547" t="str">
            <v>硬盘</v>
          </cell>
          <cell r="F1547">
            <v>5.4999999999999997E-3</v>
          </cell>
          <cell r="G1547">
            <v>0</v>
          </cell>
          <cell r="I1547" t="str">
            <v>99-001040</v>
          </cell>
        </row>
        <row r="1548">
          <cell r="B1548" t="str">
            <v>302-000122</v>
          </cell>
          <cell r="C1548" t="str">
            <v>硬盘1200G-SAS 12Gb/s10K-2.5及3.5托备</v>
          </cell>
          <cell r="D1548" t="str">
            <v>02312VWN=</v>
          </cell>
          <cell r="E1548" t="str">
            <v>硬盘</v>
          </cell>
          <cell r="F1548">
            <v>5.4999999999999997E-3</v>
          </cell>
          <cell r="G1548">
            <v>0</v>
          </cell>
          <cell r="I1548" t="str">
            <v>99-001040</v>
          </cell>
        </row>
        <row r="1549">
          <cell r="B1549" t="str">
            <v>302-000123</v>
          </cell>
          <cell r="C1549" t="str">
            <v>硬盘1200G-SAS 12Gb/s-10K-2.5及托</v>
          </cell>
          <cell r="D1549" t="str">
            <v>02312VWP</v>
          </cell>
          <cell r="E1549" t="str">
            <v>硬盘</v>
          </cell>
          <cell r="F1549">
            <v>5.4999999999999997E-3</v>
          </cell>
          <cell r="G1549">
            <v>0</v>
          </cell>
          <cell r="I1549" t="str">
            <v>99-001040</v>
          </cell>
        </row>
        <row r="1550">
          <cell r="B1550" t="str">
            <v>302-000124</v>
          </cell>
          <cell r="C1550" t="str">
            <v>硬盘1200G-SAS 12Gb/s-10K-2.5及托 备</v>
          </cell>
          <cell r="D1550" t="str">
            <v>02312VWP=</v>
          </cell>
          <cell r="E1550" t="str">
            <v>硬盘</v>
          </cell>
          <cell r="F1550">
            <v>5.4999999999999997E-3</v>
          </cell>
          <cell r="G1550">
            <v>0</v>
          </cell>
          <cell r="I1550" t="str">
            <v>99-001040</v>
          </cell>
        </row>
        <row r="1551">
          <cell r="B1551" t="str">
            <v>302-000117</v>
          </cell>
          <cell r="C1551" t="str">
            <v>硬盘600G-SAS 12Gb/s-10K-2.5及3.5托</v>
          </cell>
          <cell r="D1551" t="str">
            <v>02540002</v>
          </cell>
          <cell r="E1551" t="str">
            <v>硬盘</v>
          </cell>
          <cell r="F1551">
            <v>5.4999999999999997E-3</v>
          </cell>
          <cell r="G1551">
            <v>0</v>
          </cell>
          <cell r="I1551" t="str">
            <v>99-001041</v>
          </cell>
        </row>
        <row r="1552">
          <cell r="B1552" t="str">
            <v>302-000118</v>
          </cell>
          <cell r="C1552" t="str">
            <v>硬盘600G-SAS 12Gb/s-10K-2.5及3.5托备</v>
          </cell>
          <cell r="D1552" t="str">
            <v>02540002=</v>
          </cell>
          <cell r="E1552" t="str">
            <v>硬盘</v>
          </cell>
          <cell r="F1552">
            <v>5.4999999999999997E-3</v>
          </cell>
          <cell r="G1552">
            <v>0</v>
          </cell>
          <cell r="I1552" t="str">
            <v>99-001041</v>
          </cell>
        </row>
        <row r="1553">
          <cell r="B1553" t="str">
            <v>302-000119</v>
          </cell>
          <cell r="C1553" t="str">
            <v>硬盘600G-SAS 12Gb/s-10K-2.5及托</v>
          </cell>
          <cell r="D1553" t="str">
            <v>02540003,2540003/510601882,2540003,510601882</v>
          </cell>
          <cell r="E1553" t="str">
            <v>硬盘</v>
          </cell>
          <cell r="F1553">
            <v>5.4999999999999997E-3</v>
          </cell>
          <cell r="G1553">
            <v>0</v>
          </cell>
          <cell r="I1553" t="str">
            <v>99-001041</v>
          </cell>
        </row>
        <row r="1554">
          <cell r="B1554" t="str">
            <v>302-000120</v>
          </cell>
          <cell r="C1554" t="str">
            <v>硬硬盘600G-SAS 12Gb/s-10K-2.5及托 备</v>
          </cell>
          <cell r="D1554" t="str">
            <v>02540003=</v>
          </cell>
          <cell r="E1554" t="str">
            <v>硬盘</v>
          </cell>
          <cell r="F1554">
            <v>5.4999999999999997E-3</v>
          </cell>
          <cell r="G1554">
            <v>0</v>
          </cell>
          <cell r="I1554" t="str">
            <v>99-001041</v>
          </cell>
        </row>
        <row r="1555">
          <cell r="B1555" t="str">
            <v>302-000113</v>
          </cell>
          <cell r="C1555" t="str">
            <v>硬盘10T-SATA 6Gb/s-7.2K-3.5及托</v>
          </cell>
          <cell r="D1555" t="str">
            <v>02312VWU</v>
          </cell>
          <cell r="E1555" t="str">
            <v>硬盘</v>
          </cell>
          <cell r="F1555">
            <v>5.4999999999999997E-3</v>
          </cell>
          <cell r="G1555">
            <v>0</v>
          </cell>
          <cell r="I1555" t="str">
            <v>99-001042</v>
          </cell>
        </row>
        <row r="1556">
          <cell r="B1556" t="str">
            <v>302-000114</v>
          </cell>
          <cell r="C1556" t="str">
            <v>硬盘10T-SATA 6Gb/s-7.2K-3.5及托 备</v>
          </cell>
          <cell r="D1556" t="str">
            <v>02312VWU=</v>
          </cell>
          <cell r="E1556" t="str">
            <v>硬盘</v>
          </cell>
          <cell r="F1556">
            <v>5.4999999999999997E-3</v>
          </cell>
          <cell r="G1556">
            <v>0</v>
          </cell>
          <cell r="I1556" t="str">
            <v>99-001042</v>
          </cell>
        </row>
        <row r="1557">
          <cell r="B1557" t="str">
            <v>302-000111</v>
          </cell>
          <cell r="C1557" t="str">
            <v>S硬盘8T-3.5SATA-6G7.2K-128M- V1.0</v>
          </cell>
          <cell r="D1557" t="str">
            <v>02312VWT,空,HDEPT10JJA51</v>
          </cell>
          <cell r="E1557" t="str">
            <v>硬盘</v>
          </cell>
          <cell r="F1557">
            <v>5.4999999999999997E-3</v>
          </cell>
          <cell r="G1557">
            <v>0</v>
          </cell>
          <cell r="I1557" t="str">
            <v>99-001043</v>
          </cell>
        </row>
        <row r="1558">
          <cell r="B1558" t="str">
            <v>302-000112</v>
          </cell>
          <cell r="C1558" t="str">
            <v>硬盘8T-SATA 6Gb/s-7.2K-3.5及托 备</v>
          </cell>
          <cell r="D1558" t="str">
            <v>02312VWT=</v>
          </cell>
          <cell r="E1558" t="str">
            <v>硬盘</v>
          </cell>
          <cell r="F1558">
            <v>5.4999999999999997E-3</v>
          </cell>
          <cell r="G1558">
            <v>0</v>
          </cell>
          <cell r="I1558" t="str">
            <v>99-001043</v>
          </cell>
        </row>
        <row r="1559">
          <cell r="B1559" t="str">
            <v>302-000107</v>
          </cell>
          <cell r="C1559" t="str">
            <v>S硬盘4T-3.5SATA-6G7.2K-128M- V1.0</v>
          </cell>
          <cell r="D1559" t="str">
            <v>02312VWS,空,1V4107-177</v>
          </cell>
          <cell r="E1559" t="str">
            <v>硬盘</v>
          </cell>
          <cell r="F1559">
            <v>5.4999999999999997E-3</v>
          </cell>
          <cell r="G1559">
            <v>4</v>
          </cell>
          <cell r="I1559" t="str">
            <v>99-001049</v>
          </cell>
        </row>
        <row r="1560">
          <cell r="B1560" t="str">
            <v>302-000108</v>
          </cell>
          <cell r="C1560" t="str">
            <v>硬盘4T-SATA 6Gb/s-7.2K 3.5及托 备</v>
          </cell>
          <cell r="D1560" t="str">
            <v>02312VWS=</v>
          </cell>
          <cell r="E1560" t="str">
            <v>硬盘</v>
          </cell>
          <cell r="F1560">
            <v>5.4999999999999997E-3</v>
          </cell>
          <cell r="G1560">
            <v>0</v>
          </cell>
          <cell r="I1560" t="str">
            <v>99-001049</v>
          </cell>
        </row>
        <row r="1561">
          <cell r="B1561" t="str">
            <v>302-000115</v>
          </cell>
          <cell r="C1561" t="str">
            <v>硬盘16T-SATA 6Gb/s-7.2K-3.5及托</v>
          </cell>
          <cell r="D1561" t="str">
            <v>02540004</v>
          </cell>
          <cell r="E1561" t="str">
            <v>硬盘</v>
          </cell>
          <cell r="F1561">
            <v>5.4999999999999997E-3</v>
          </cell>
          <cell r="G1561">
            <v>0</v>
          </cell>
          <cell r="I1561" t="str">
            <v>99-001163</v>
          </cell>
        </row>
        <row r="1562">
          <cell r="B1562" t="str">
            <v>302-000116</v>
          </cell>
          <cell r="C1562" t="str">
            <v>硬盘16T-SATA 6Gb/s-7.2K-3.5及托 备</v>
          </cell>
          <cell r="D1562" t="str">
            <v>02540004=</v>
          </cell>
          <cell r="E1562" t="str">
            <v>硬盘</v>
          </cell>
          <cell r="F1562">
            <v>5.4999999999999997E-3</v>
          </cell>
          <cell r="G1562">
            <v>0</v>
          </cell>
          <cell r="I1562" t="str">
            <v>99-001163</v>
          </cell>
        </row>
        <row r="1563">
          <cell r="B1563" t="str">
            <v>309-000346</v>
          </cell>
          <cell r="C1563" t="str">
            <v>Riser1&amp;2 3*8X SLOT(PCIE4.0) T4</v>
          </cell>
          <cell r="D1563">
            <v>2580149</v>
          </cell>
          <cell r="E1563" t="str">
            <v>Riser模组</v>
          </cell>
          <cell r="F1563">
            <v>5.0000000000000001E-3</v>
          </cell>
          <cell r="G1563">
            <v>0</v>
          </cell>
          <cell r="I1563" t="str">
            <v>99-000147</v>
          </cell>
        </row>
        <row r="1564">
          <cell r="B1564" t="str">
            <v>309-000347</v>
          </cell>
          <cell r="C1564" t="str">
            <v>Riser1&amp;2 1*16X+1*8X(PCIE4.0)双宽GPU</v>
          </cell>
          <cell r="D1564" t="str">
            <v>空</v>
          </cell>
          <cell r="E1564" t="str">
            <v>Riser模组</v>
          </cell>
          <cell r="F1564">
            <v>5.0000000000000001E-3</v>
          </cell>
          <cell r="G1564">
            <v>0</v>
          </cell>
          <cell r="I1564" t="str">
            <v>99-001770</v>
          </cell>
        </row>
        <row r="1565">
          <cell r="B1565" t="str">
            <v>302-002681</v>
          </cell>
          <cell r="C1565" t="str">
            <v>自研海光服务器.DVTPCBA,4GPU,RISER56,V100</v>
          </cell>
          <cell r="D1565" t="str">
            <v>空,ST39_4GPU_RISER56_</v>
          </cell>
          <cell r="E1565" t="str">
            <v>其他板卡</v>
          </cell>
          <cell r="F1565">
            <v>3.0999999999999999E-3</v>
          </cell>
          <cell r="G1565">
            <v>34</v>
          </cell>
        </row>
        <row r="1566">
          <cell r="B1566" t="str">
            <v>302-003152</v>
          </cell>
          <cell r="C1566" t="str">
            <v>功能模块-TaiShan 200 (Model 1280)-BC8M20FAN-4056+风扇组件 -1u机箱风扇</v>
          </cell>
          <cell r="D1566" t="str">
            <v>02312UKJ</v>
          </cell>
          <cell r="E1566" t="str">
            <v>风扇</v>
          </cell>
          <cell r="F1566">
            <v>2.8999999999999998E-3</v>
          </cell>
          <cell r="G1566">
            <v>0</v>
          </cell>
        </row>
        <row r="1567">
          <cell r="B1567" t="str">
            <v>302-003061</v>
          </cell>
          <cell r="C1567" t="str">
            <v>硬盘背板制成板-BC82CPIB-1U灯板(10盘机型)-2*4-1u机箱背板</v>
          </cell>
          <cell r="D1567" t="str">
            <v>03027FSA</v>
          </cell>
          <cell r="E1567" t="str">
            <v>机箱/硬盘背板</v>
          </cell>
          <cell r="F1567">
            <v>2.8999999999999998E-3</v>
          </cell>
          <cell r="G1567">
            <v>0</v>
          </cell>
        </row>
        <row r="1568">
          <cell r="B1568" t="str">
            <v>302-002684</v>
          </cell>
          <cell r="C1568" t="str">
            <v>A924 裸机箱(4U,不带风扇,不带电源),A48M-12</v>
          </cell>
          <cell r="D1568" t="str">
            <v>02301683</v>
          </cell>
          <cell r="E1568" t="str">
            <v>机箱/硬盘背板</v>
          </cell>
          <cell r="F1568">
            <v>2.8999999999999998E-3</v>
          </cell>
          <cell r="G1568">
            <v>0</v>
          </cell>
        </row>
        <row r="1569">
          <cell r="B1569" t="str">
            <v>302-004070</v>
          </cell>
          <cell r="C1569" t="str">
            <v>SSD RSYE3839M-3.84T-SATA-2.5 读写 JBL</v>
          </cell>
          <cell r="D1569" t="str">
            <v>RSYE3839M-3840</v>
          </cell>
          <cell r="E1569" t="str">
            <v>硬盘</v>
          </cell>
          <cell r="F1569">
            <v>5.4999999999999997E-3</v>
          </cell>
          <cell r="G1569">
            <v>714</v>
          </cell>
        </row>
        <row r="1570">
          <cell r="B1570" t="str">
            <v>302-003979</v>
          </cell>
          <cell r="C1570" t="str">
            <v>模组688pin连接器</v>
          </cell>
          <cell r="D1570">
            <v>14201059</v>
          </cell>
          <cell r="E1570" t="str">
            <v>其他部件</v>
          </cell>
          <cell r="F1570">
            <v>3.0999999999999999E-3</v>
          </cell>
          <cell r="G1570">
            <v>300</v>
          </cell>
        </row>
        <row r="1571">
          <cell r="B1571" t="str">
            <v>302-003983</v>
          </cell>
          <cell r="C1571" t="str">
            <v>制成板-S920X08-BMC模组(Hi1711,4C,2GB)</v>
          </cell>
          <cell r="D1571">
            <v>302054870</v>
          </cell>
          <cell r="E1571" t="str">
            <v>其他部件</v>
          </cell>
          <cell r="F1571">
            <v>3.0999999999999999E-3</v>
          </cell>
          <cell r="G1571">
            <v>200</v>
          </cell>
        </row>
        <row r="1572">
          <cell r="B1572" t="str">
            <v>307-000022</v>
          </cell>
          <cell r="C1572" t="str">
            <v>OMXD30000 光模块</v>
          </cell>
          <cell r="D1572" t="str">
            <v>02313URC</v>
          </cell>
          <cell r="E1572" t="str">
            <v>光模块</v>
          </cell>
          <cell r="F1572">
            <v>4.1999999999999997E-3</v>
          </cell>
          <cell r="G1572">
            <v>2032</v>
          </cell>
        </row>
        <row r="1573">
          <cell r="B1573" t="str">
            <v>307-000070</v>
          </cell>
          <cell r="C1573" t="str">
            <v>QSFP-100G-BIDI-G2 光模块</v>
          </cell>
          <cell r="D1573" t="str">
            <v>02314DBW</v>
          </cell>
          <cell r="E1573" t="str">
            <v>光模块</v>
          </cell>
          <cell r="F1573">
            <v>4.1999999999999997E-3</v>
          </cell>
          <cell r="G1573">
            <v>2500</v>
          </cell>
        </row>
        <row r="1574">
          <cell r="B1574" t="str">
            <v>302-003965</v>
          </cell>
          <cell r="C1574" t="str">
            <v>国产化器件宽温310P模组</v>
          </cell>
          <cell r="D1574" t="str">
            <v>ED41MOD310P-国产化-宽温</v>
          </cell>
          <cell r="E1574" t="str">
            <v>其他部件</v>
          </cell>
          <cell r="F1574">
            <v>3.0999999999999999E-3</v>
          </cell>
          <cell r="G1574">
            <v>4</v>
          </cell>
        </row>
        <row r="1575">
          <cell r="B1575" t="str">
            <v>302-003707</v>
          </cell>
          <cell r="C1575" t="str">
            <v>SSD S4520-7.68T-SATA-2.5 读取 Solidigm</v>
          </cell>
          <cell r="D1575" t="str">
            <v>NA-339</v>
          </cell>
          <cell r="E1575" t="str">
            <v>硬盘</v>
          </cell>
          <cell r="F1575">
            <v>5.4999999999999997E-3</v>
          </cell>
          <cell r="G1575">
            <v>72</v>
          </cell>
          <cell r="I1575" t="str">
            <v>99-002084</v>
          </cell>
        </row>
        <row r="1576">
          <cell r="B1576" t="str">
            <v>909-999999</v>
          </cell>
          <cell r="C1576" t="str">
            <v>无服务</v>
          </cell>
          <cell r="D1576" t="str">
            <v>空</v>
          </cell>
          <cell r="E1576" t="str">
            <v>其他部件</v>
          </cell>
          <cell r="F1576">
            <v>3.0999999999999999E-3</v>
          </cell>
          <cell r="G1576">
            <v>0</v>
          </cell>
        </row>
        <row r="1577">
          <cell r="B1577" t="str">
            <v>302-004035</v>
          </cell>
          <cell r="C1577" t="str">
            <v>内存DDR5-64G-5600-2R（4G*4bit）-RD-CX-HW</v>
          </cell>
          <cell r="D1577" t="str">
            <v>02510260</v>
          </cell>
          <cell r="E1577" t="str">
            <v>内存</v>
          </cell>
          <cell r="F1577">
            <v>2E-3</v>
          </cell>
          <cell r="G1577">
            <v>0</v>
          </cell>
        </row>
        <row r="1578">
          <cell r="B1578" t="str">
            <v>302-003813</v>
          </cell>
          <cell r="C1578" t="str">
            <v>SSD PM9A3-1.92TB-NVMe4.0-2.5读取SX V1.1</v>
          </cell>
          <cell r="D1578" t="str">
            <v>MZQL21T9HCJR-00A07</v>
          </cell>
          <cell r="E1578" t="str">
            <v>硬盘</v>
          </cell>
          <cell r="F1578">
            <v>5.4999999999999997E-3</v>
          </cell>
          <cell r="G1578">
            <v>0</v>
          </cell>
          <cell r="I1578" t="str">
            <v>99-000899</v>
          </cell>
        </row>
        <row r="1579">
          <cell r="B1579" t="str">
            <v>302-003423</v>
          </cell>
          <cell r="C1579" t="str">
            <v>电源电缆-047.m-黑-80A弯头快插连接器</v>
          </cell>
          <cell r="D1579" t="str">
            <v>04154103-1</v>
          </cell>
          <cell r="E1579" t="str">
            <v>线缆</v>
          </cell>
          <cell r="F1579">
            <v>2E-3</v>
          </cell>
          <cell r="G1579">
            <v>64</v>
          </cell>
          <cell r="I1579" t="str">
            <v>99-003126</v>
          </cell>
        </row>
        <row r="1580">
          <cell r="B1580" t="str">
            <v>302-003561</v>
          </cell>
          <cell r="C1580" t="str">
            <v>SSD-960G-SATA 6Gb-2.5-读取-JBL-from HW原包</v>
          </cell>
          <cell r="D1580" t="str">
            <v>RSYE3836N-960G</v>
          </cell>
          <cell r="E1580" t="str">
            <v>硬盘</v>
          </cell>
          <cell r="F1580">
            <v>5.4999999999999997E-3</v>
          </cell>
          <cell r="G1580">
            <v>1860</v>
          </cell>
          <cell r="I1580" t="str">
            <v>99-003584</v>
          </cell>
        </row>
        <row r="1581">
          <cell r="B1581" t="str">
            <v>302-000599</v>
          </cell>
          <cell r="C1581" t="str">
            <v>硬盘2.4T-SAS 12Gb/s-10K-2.5及托 DZ</v>
          </cell>
          <cell r="D1581" t="str">
            <v>2540005</v>
          </cell>
          <cell r="E1581" t="str">
            <v>硬盘</v>
          </cell>
          <cell r="F1581">
            <v>5.4999999999999997E-3</v>
          </cell>
          <cell r="G1581">
            <v>0</v>
          </cell>
          <cell r="I1581" t="str">
            <v>99-000781</v>
          </cell>
        </row>
        <row r="1582">
          <cell r="B1582" t="str">
            <v>302-000596</v>
          </cell>
          <cell r="C1582" t="str">
            <v>硬盘2.4T-SAS 12Gb/s-10K-2.5及托 备 DZ</v>
          </cell>
          <cell r="D1582" t="str">
            <v>02540005=-1</v>
          </cell>
          <cell r="E1582" t="str">
            <v>硬盘</v>
          </cell>
          <cell r="F1582">
            <v>5.4999999999999997E-3</v>
          </cell>
          <cell r="G1582">
            <v>0</v>
          </cell>
          <cell r="I1582" t="str">
            <v>99-000781</v>
          </cell>
        </row>
        <row r="1583">
          <cell r="B1583" t="str">
            <v>302-004257</v>
          </cell>
          <cell r="C1583" t="str">
            <v>S硬盘20T-3.5SATA-6G7.2K-256M-XJ-V1.0</v>
          </cell>
          <cell r="D1583" t="str">
            <v>ST20000NM007D</v>
          </cell>
          <cell r="E1583" t="str">
            <v>硬盘</v>
          </cell>
          <cell r="F1583">
            <v>5.4999999999999997E-3</v>
          </cell>
          <cell r="G1583">
            <v>24</v>
          </cell>
          <cell r="I1583" t="str">
            <v>99-003769</v>
          </cell>
        </row>
        <row r="1584">
          <cell r="B1584" t="str">
            <v>302-002706</v>
          </cell>
          <cell r="C1584" t="str">
            <v>S硬盘20T-3.5SATA-6G7.2K-256M-XS-V1.0</v>
          </cell>
          <cell r="D1584" t="str">
            <v>WUH722020BLE604</v>
          </cell>
          <cell r="E1584" t="str">
            <v>硬盘</v>
          </cell>
          <cell r="F1584">
            <v>5.4999999999999997E-3</v>
          </cell>
          <cell r="G1584">
            <v>0</v>
          </cell>
          <cell r="I1584" t="str">
            <v>99-003769</v>
          </cell>
        </row>
        <row r="1585">
          <cell r="B1585" t="str">
            <v>302-004147</v>
          </cell>
          <cell r="C1585" t="str">
            <v>S主板S920X20-2*7263Z(64C@2.8G)-AB-4U8卡项目</v>
          </cell>
          <cell r="D1585" t="str">
            <v>03050RBG</v>
          </cell>
          <cell r="E1585" t="str">
            <v>主板</v>
          </cell>
          <cell r="F1585">
            <v>8.5000000000000006E-3</v>
          </cell>
          <cell r="G1585">
            <v>0</v>
          </cell>
        </row>
        <row r="1586">
          <cell r="B1586" t="str">
            <v>302-003427</v>
          </cell>
          <cell r="C1586" t="str">
            <v>天池12*3.5直通硬盘背板-BC83NHBC-4U8卡项目</v>
          </cell>
          <cell r="D1586" t="str">
            <v>0302023936</v>
          </cell>
          <cell r="E1586" t="str">
            <v>机箱/硬盘背板</v>
          </cell>
          <cell r="F1586">
            <v>2.8999999999999998E-3</v>
          </cell>
          <cell r="G1586">
            <v>0</v>
          </cell>
          <cell r="I1586" t="str">
            <v>99-003427</v>
          </cell>
        </row>
        <row r="1587">
          <cell r="B1587" t="str">
            <v>302-001903</v>
          </cell>
          <cell r="C1587" t="str">
            <v>12*3.5直通硬盘背板-1*2-BC83NHBC-4U8卡项目</v>
          </cell>
          <cell r="D1587">
            <v>302023936</v>
          </cell>
          <cell r="E1587" t="str">
            <v>机箱/硬盘背板</v>
          </cell>
          <cell r="F1587">
            <v>2.8999999999999998E-3</v>
          </cell>
          <cell r="G1587">
            <v>0</v>
          </cell>
          <cell r="I1587" t="str">
            <v>99-003427</v>
          </cell>
        </row>
        <row r="1588">
          <cell r="B1588" t="str">
            <v>302-003995</v>
          </cell>
          <cell r="C1588" t="str">
            <v>机箱2U2P-12*3.5EXP机箱-S920X20-4U8卡项目</v>
          </cell>
          <cell r="D1588" t="str">
            <v>02315AFH</v>
          </cell>
          <cell r="E1588" t="str">
            <v>机箱/硬盘背板</v>
          </cell>
          <cell r="F1588">
            <v>2.8999999999999998E-3</v>
          </cell>
          <cell r="G1588">
            <v>0</v>
          </cell>
        </row>
        <row r="1589">
          <cell r="B1589" t="str">
            <v>302-004134</v>
          </cell>
          <cell r="C1589" t="str">
            <v>网卡P2200G-2*200G-QSFP112-PCIe5.0x16-无模-4U8卡项目</v>
          </cell>
          <cell r="D1589" t="str">
            <v>NA</v>
          </cell>
          <cell r="E1589" t="str">
            <v>网卡</v>
          </cell>
          <cell r="F1589">
            <v>5.7999999999999996E-3</v>
          </cell>
          <cell r="G1589">
            <v>0</v>
          </cell>
        </row>
        <row r="1590">
          <cell r="B1590" t="str">
            <v>302-004131</v>
          </cell>
          <cell r="C1590" t="str">
            <v>网卡P2100G-2*100G-QSFP56-PCIe4.0x16-无模-4U8卡项目</v>
          </cell>
          <cell r="D1590" t="str">
            <v>NA-221</v>
          </cell>
          <cell r="E1590" t="str">
            <v>网卡</v>
          </cell>
          <cell r="F1590">
            <v>5.7999999999999996E-3</v>
          </cell>
          <cell r="G1590">
            <v>0</v>
          </cell>
        </row>
        <row r="1591">
          <cell r="B1591" t="str">
            <v>302-004254</v>
          </cell>
          <cell r="C1591" t="str">
            <v>OCP网卡,PCIe3.0,2x10G,SP1000A,PXE,NCSI,RP1000P2SFP-L401-4U8卡项目</v>
          </cell>
          <cell r="D1591" t="str">
            <v>RP1000P2SFP-L401</v>
          </cell>
          <cell r="E1591" t="str">
            <v>网卡</v>
          </cell>
          <cell r="F1591">
            <v>5.7999999999999996E-3</v>
          </cell>
          <cell r="G1591">
            <v>0</v>
          </cell>
        </row>
        <row r="1592">
          <cell r="B1592" t="str">
            <v>302-004255</v>
          </cell>
          <cell r="C1592" t="str">
            <v>网卡标卡,PCIe2.1x4,2xGE,WX1860A2,PXE,SF200T-4U8卡项目</v>
          </cell>
          <cell r="D1592" t="str">
            <v>SF200T</v>
          </cell>
          <cell r="E1592" t="str">
            <v>网卡</v>
          </cell>
          <cell r="F1592">
            <v>5.7999999999999996E-3</v>
          </cell>
          <cell r="G1592">
            <v>0</v>
          </cell>
        </row>
        <row r="1593">
          <cell r="B1593" t="str">
            <v>302-004139</v>
          </cell>
          <cell r="C1593" t="str">
            <v>MX-C500@PCIe卡-FHFL_DW-风冷-4U8卡项目</v>
          </cell>
          <cell r="D1593" t="str">
            <v>无-5</v>
          </cell>
          <cell r="E1593" t="str">
            <v>PCIe提升卡</v>
          </cell>
          <cell r="F1593">
            <v>3.0999999999999999E-3</v>
          </cell>
          <cell r="G1593">
            <v>0</v>
          </cell>
        </row>
        <row r="1594">
          <cell r="B1594" t="str">
            <v>302-002710</v>
          </cell>
          <cell r="C1594" t="str">
            <v>TM281板载灵活网卡-25GE/10GE光口-4端口-SFP28(不含光模块)</v>
          </cell>
          <cell r="D1594" t="str">
            <v>03028SXC</v>
          </cell>
          <cell r="E1594" t="str">
            <v>灵活网卡</v>
          </cell>
          <cell r="F1594">
            <v>5.7999999999999996E-3</v>
          </cell>
          <cell r="G1594">
            <v>1570</v>
          </cell>
        </row>
        <row r="1595">
          <cell r="B1595" t="str">
            <v>302-003047</v>
          </cell>
          <cell r="C1595" t="str">
            <v>硬盘1800G-SAS 12Gb/s-10K-2.5无托 DZ-LJ</v>
          </cell>
          <cell r="D1595" t="str">
            <v>02312VWR-1</v>
          </cell>
          <cell r="E1595" t="str">
            <v>硬盘</v>
          </cell>
          <cell r="F1595">
            <v>5.4999999999999997E-3</v>
          </cell>
          <cell r="G1595">
            <v>0</v>
          </cell>
          <cell r="I1595" t="str">
            <v>99-001039</v>
          </cell>
        </row>
        <row r="1596">
          <cell r="B1596" t="str">
            <v>302-002398</v>
          </cell>
          <cell r="C1596" t="str">
            <v>2*2.5"后置硬盘背板组件-A722-LJ</v>
          </cell>
          <cell r="D1596" t="str">
            <v>02312NFY-1</v>
          </cell>
          <cell r="E1596" t="str">
            <v>后置硬盘背板</v>
          </cell>
          <cell r="F1596">
            <v>2.8999999999999998E-3</v>
          </cell>
          <cell r="G1596">
            <v>0</v>
          </cell>
          <cell r="I1596" t="str">
            <v>99-000143</v>
          </cell>
        </row>
        <row r="1597">
          <cell r="B1597" t="str">
            <v>302-002369</v>
          </cell>
          <cell r="C1597" t="str">
            <v>S内存DDR4-16G-2933-2Rank(1G*8bit) HLS-LJ</v>
          </cell>
          <cell r="D1597" t="str">
            <v>HMA82GR7DJR8N-WMT4-1</v>
          </cell>
          <cell r="E1597" t="str">
            <v>内存</v>
          </cell>
          <cell r="F1597">
            <v>2E-3</v>
          </cell>
          <cell r="G1597">
            <v>0</v>
          </cell>
          <cell r="I1597" t="str">
            <v>99-000536</v>
          </cell>
        </row>
        <row r="1598">
          <cell r="B1598" t="str">
            <v>302-001046</v>
          </cell>
          <cell r="C1598" t="str">
            <v>S内存DDR4-16G-2933-2Rank(1G*8bit) HLS</v>
          </cell>
          <cell r="D1598" t="str">
            <v>HMA82GR7DJR8N-WMT4</v>
          </cell>
          <cell r="E1598" t="str">
            <v>内存</v>
          </cell>
          <cell r="F1598">
            <v>2E-3</v>
          </cell>
          <cell r="G1598">
            <v>0</v>
          </cell>
          <cell r="I1598" t="str">
            <v>99-000536</v>
          </cell>
        </row>
        <row r="1599">
          <cell r="B1599" t="str">
            <v>302-001634</v>
          </cell>
          <cell r="C1599" t="str">
            <v>S内存DDR4-16G-2933-2Rank(1G*8bit) HLS</v>
          </cell>
          <cell r="D1599" t="str">
            <v>06200286-1</v>
          </cell>
          <cell r="E1599" t="str">
            <v>内存</v>
          </cell>
          <cell r="F1599">
            <v>2E-3</v>
          </cell>
          <cell r="G1599">
            <v>0</v>
          </cell>
          <cell r="I1599" t="str">
            <v>99-000536</v>
          </cell>
        </row>
        <row r="1600">
          <cell r="B1600" t="str">
            <v>302-003768</v>
          </cell>
          <cell r="C1600" t="str">
            <v>S内存DDR4-16G-2933-1Rx4-RD SX V1.0 LJ</v>
          </cell>
          <cell r="D1600" t="str">
            <v>M393A2K40DB2-CVF</v>
          </cell>
          <cell r="E1600" t="str">
            <v>内存</v>
          </cell>
          <cell r="F1600">
            <v>2E-3</v>
          </cell>
          <cell r="G1600">
            <v>0</v>
          </cell>
          <cell r="I1600" t="str">
            <v>99-000897</v>
          </cell>
        </row>
        <row r="1601">
          <cell r="B1601" t="str">
            <v>302-003045</v>
          </cell>
          <cell r="C1601" t="str">
            <v>模组-RISER1&amp;2-16X+16X(X8)-R62X-LJ</v>
          </cell>
          <cell r="D1601" t="str">
            <v>02312NFU-4</v>
          </cell>
          <cell r="E1601" t="str">
            <v>Riser模组</v>
          </cell>
          <cell r="F1601">
            <v>5.0000000000000001E-3</v>
          </cell>
          <cell r="G1601">
            <v>0</v>
          </cell>
          <cell r="I1601" t="str">
            <v>99-000148</v>
          </cell>
        </row>
        <row r="1602">
          <cell r="B1602" t="str">
            <v>302-002866</v>
          </cell>
          <cell r="C1602" t="str">
            <v>S内存DDR4-32G-2933-2Rx4-RD MG V1.0-LJ</v>
          </cell>
          <cell r="D1602" t="str">
            <v>MTA36ASF4G72PZ-2G9-1</v>
          </cell>
          <cell r="E1602" t="str">
            <v>内存</v>
          </cell>
          <cell r="F1602">
            <v>2E-3</v>
          </cell>
          <cell r="G1602">
            <v>0</v>
          </cell>
          <cell r="I1602" t="str">
            <v>99-001067</v>
          </cell>
        </row>
        <row r="1603">
          <cell r="B1603" t="str">
            <v>302-003103</v>
          </cell>
          <cell r="C1603" t="str">
            <v>RAID扣卡 SR450C(Avago3508)-2GB Cache-LJ</v>
          </cell>
          <cell r="D1603" t="str">
            <v>03024JMY-1</v>
          </cell>
          <cell r="E1603" t="str">
            <v>RAID卡</v>
          </cell>
          <cell r="F1603">
            <v>7.7999999999999996E-3</v>
          </cell>
          <cell r="G1603">
            <v>0</v>
          </cell>
          <cell r="I1603" t="str">
            <v>99-000134</v>
          </cell>
        </row>
        <row r="1604">
          <cell r="B1604" t="str">
            <v>302-002305</v>
          </cell>
          <cell r="C1604" t="str">
            <v>网卡25G双口SFP28 Mellanox CX4-lx-kt-LJ</v>
          </cell>
          <cell r="D1604" t="str">
            <v>MCX4121A-ACAT-1</v>
          </cell>
          <cell r="E1604" t="str">
            <v>网卡</v>
          </cell>
          <cell r="F1604">
            <v>5.7999999999999996E-3</v>
          </cell>
          <cell r="G1604">
            <v>0</v>
          </cell>
          <cell r="I1604" t="str">
            <v>99-000749</v>
          </cell>
        </row>
        <row r="1605">
          <cell r="B1605" t="str">
            <v>302-002368</v>
          </cell>
          <cell r="C1605" t="str">
            <v>3*16X SLOT(PCIE X8)RISER1&amp;2-支持T4&amp;Pro-LJ</v>
          </cell>
          <cell r="D1605" t="str">
            <v>02580141-1</v>
          </cell>
          <cell r="E1605" t="str">
            <v>Riser模组</v>
          </cell>
          <cell r="F1605">
            <v>5.0000000000000001E-3</v>
          </cell>
          <cell r="G1605">
            <v>0</v>
          </cell>
          <cell r="I1605" t="str">
            <v>99-000147</v>
          </cell>
        </row>
        <row r="1606">
          <cell r="B1606" t="str">
            <v>309-000108</v>
          </cell>
          <cell r="C1606" t="str">
            <v>1*Riser1&amp;2模组 3*16X(X8)</v>
          </cell>
          <cell r="D1606" t="str">
            <v>02312VXU</v>
          </cell>
          <cell r="E1606" t="str">
            <v>Riser模组</v>
          </cell>
          <cell r="F1606">
            <v>5.0000000000000001E-3</v>
          </cell>
          <cell r="G1606">
            <v>0</v>
          </cell>
          <cell r="I1606" t="str">
            <v>99-000147</v>
          </cell>
        </row>
        <row r="1607">
          <cell r="B1607" t="str">
            <v>302-002196</v>
          </cell>
          <cell r="C1607" t="str">
            <v>3*16X SLOT (PCIE X8) RISER1&amp;2 模组(OEM专用)</v>
          </cell>
          <cell r="D1607" t="str">
            <v>02312VXU-2</v>
          </cell>
          <cell r="E1607" t="str">
            <v>Riser模组</v>
          </cell>
          <cell r="F1607">
            <v>5.0000000000000001E-3</v>
          </cell>
          <cell r="G1607">
            <v>0</v>
          </cell>
          <cell r="I1607" t="str">
            <v>99-000147</v>
          </cell>
        </row>
        <row r="1608">
          <cell r="B1608" t="str">
            <v>302-002530</v>
          </cell>
          <cell r="C1608" t="str">
            <v>Riser1&amp;2模组 3*16X(X8)-LJ</v>
          </cell>
          <cell r="D1608" t="str">
            <v>02312VXU/510600133-1</v>
          </cell>
          <cell r="E1608" t="str">
            <v>Riser模组</v>
          </cell>
          <cell r="F1608">
            <v>5.0000000000000001E-3</v>
          </cell>
          <cell r="G1608">
            <v>0</v>
          </cell>
          <cell r="I1608" t="str">
            <v>99-000147</v>
          </cell>
        </row>
        <row r="1609">
          <cell r="B1609" t="str">
            <v>304-000401</v>
          </cell>
          <cell r="C1609" t="str">
            <v>自研海光3号服务器PVT配置一,L6,CPU7375,4GPU机箱</v>
          </cell>
          <cell r="D1609" t="str">
            <v>RY120-2200-PVT-1-L</v>
          </cell>
          <cell r="E1609" t="str">
            <v>L6典配</v>
          </cell>
          <cell r="F1609">
            <v>2.8999999999999998E-3</v>
          </cell>
          <cell r="G1609">
            <v>0</v>
          </cell>
        </row>
        <row r="1610">
          <cell r="B1610" t="str">
            <v>304-000402</v>
          </cell>
          <cell r="C1610" t="str">
            <v>自研海光3号服务器PVT配置二,L6,CPU7360,4GPU机箱</v>
          </cell>
          <cell r="D1610" t="str">
            <v>RY120-2200-PVT2-L6</v>
          </cell>
          <cell r="E1610" t="str">
            <v>L6典配</v>
          </cell>
          <cell r="F1610">
            <v>2.8999999999999998E-3</v>
          </cell>
          <cell r="G1610">
            <v>0</v>
          </cell>
        </row>
        <row r="1611">
          <cell r="B1611" t="str">
            <v>304-000403</v>
          </cell>
          <cell r="C1611" t="str">
            <v>自研海光3号服务器PVT配置三,L6,CPU7360,4GPU机箱</v>
          </cell>
          <cell r="D1611" t="str">
            <v>RY120-2200-PVT3-L6</v>
          </cell>
          <cell r="E1611" t="str">
            <v>L6典配</v>
          </cell>
          <cell r="F1611">
            <v>2.8999999999999998E-3</v>
          </cell>
          <cell r="G1611">
            <v>0</v>
          </cell>
        </row>
        <row r="1612">
          <cell r="B1612" t="str">
            <v>304-000404</v>
          </cell>
          <cell r="C1612" t="str">
            <v>自研海光3号服务器PVT配置四,L6,CPU7360,6GPU机箱</v>
          </cell>
          <cell r="D1612" t="str">
            <v>RY120-2200-PVT4-L6</v>
          </cell>
          <cell r="E1612" t="str">
            <v>L6典配</v>
          </cell>
          <cell r="F1612">
            <v>2.8999999999999998E-3</v>
          </cell>
          <cell r="G1612">
            <v>0</v>
          </cell>
        </row>
        <row r="1613">
          <cell r="B1613" t="str">
            <v>302-003111</v>
          </cell>
          <cell r="C1613" t="str">
            <v>信创S主板 2*920,48C信创-LJ</v>
          </cell>
          <cell r="D1613" t="str">
            <v>02313APY-1</v>
          </cell>
          <cell r="E1613" t="str">
            <v>主板</v>
          </cell>
          <cell r="F1613">
            <v>8.5000000000000006E-3</v>
          </cell>
          <cell r="G1613">
            <v>0</v>
          </cell>
          <cell r="I1613" t="str">
            <v>99-000704</v>
          </cell>
        </row>
        <row r="1614">
          <cell r="B1614" t="str">
            <v>302-003756</v>
          </cell>
          <cell r="C1614" t="str">
            <v>NVMeSSD UH831a-3.2TB-PCIe4-2.5读写YL-K-HW</v>
          </cell>
          <cell r="D1614" t="str">
            <v>02550945</v>
          </cell>
          <cell r="E1614" t="str">
            <v>硬盘</v>
          </cell>
          <cell r="F1614">
            <v>5.4999999999999997E-3</v>
          </cell>
          <cell r="G1614">
            <v>20</v>
          </cell>
          <cell r="I1614" t="str">
            <v>99-001121</v>
          </cell>
        </row>
        <row r="1615">
          <cell r="B1615" t="str">
            <v>302-003941</v>
          </cell>
          <cell r="C1615" t="str">
            <v>SF216D-H板载灵活网卡-200GE-2端口-QSFP56 V2.0</v>
          </cell>
          <cell r="D1615" t="str">
            <v>0302069104</v>
          </cell>
          <cell r="E1615" t="str">
            <v>灵活网卡</v>
          </cell>
          <cell r="F1615">
            <v>5.7999999999999996E-3</v>
          </cell>
          <cell r="G1615">
            <v>96</v>
          </cell>
          <cell r="I1615" t="str">
            <v>99-002709</v>
          </cell>
        </row>
        <row r="1616">
          <cell r="B1616" t="str">
            <v>302-004040</v>
          </cell>
          <cell r="C1616" t="str">
            <v>S内存DDR4-32G-3200-2Rx4-RD HLS V1.1</v>
          </cell>
          <cell r="D1616" t="str">
            <v>02510049-1</v>
          </cell>
          <cell r="E1616" t="str">
            <v>内存</v>
          </cell>
          <cell r="F1616">
            <v>2E-3</v>
          </cell>
          <cell r="G1616">
            <v>2477</v>
          </cell>
          <cell r="I1616" t="str">
            <v>99-001627</v>
          </cell>
        </row>
        <row r="1617">
          <cell r="B1617" t="str">
            <v>302-004159</v>
          </cell>
          <cell r="C1617" t="str">
            <v>光模块-200G-QSFP56-多模-850nm-100m-NDD</v>
          </cell>
          <cell r="D1617" t="str">
            <v>NA</v>
          </cell>
          <cell r="E1617" t="str">
            <v>光模块</v>
          </cell>
          <cell r="F1617">
            <v>4.1999999999999997E-3</v>
          </cell>
          <cell r="G1617">
            <v>392</v>
          </cell>
          <cell r="I1617" t="str">
            <v>99-003018</v>
          </cell>
        </row>
        <row r="1618">
          <cell r="B1618" t="str">
            <v>302-004263</v>
          </cell>
          <cell r="C1618" t="str">
            <v>DPU卡-2200N-2*10G-SFP+-全高半长(含光模块)</v>
          </cell>
          <cell r="D1618" t="str">
            <v>SWIFT-2200N Pro 2x10G</v>
          </cell>
          <cell r="E1618" t="str">
            <v>DPU卡</v>
          </cell>
          <cell r="F1618">
            <v>6.3E-3</v>
          </cell>
          <cell r="G1618">
            <v>0</v>
          </cell>
        </row>
        <row r="1619">
          <cell r="B1619" t="str">
            <v>302-004269</v>
          </cell>
          <cell r="C1619" t="str">
            <v>ES3600PV6-3.2TB-PCIe4-2.5读写HW1.1</v>
          </cell>
          <cell r="D1619" t="str">
            <v>03034XET-1</v>
          </cell>
          <cell r="E1619" t="str">
            <v>硬盘</v>
          </cell>
          <cell r="F1619">
            <v>5.4999999999999997E-3</v>
          </cell>
          <cell r="G1619">
            <v>0</v>
          </cell>
          <cell r="I1619" t="str">
            <v>99-003875</v>
          </cell>
        </row>
        <row r="1620">
          <cell r="B1620" t="str">
            <v>302-003403</v>
          </cell>
          <cell r="C1620" t="str">
            <v>SSD HSSD-7.68TB-SAS3.0-2.5读取 HWCC</v>
          </cell>
          <cell r="D1620" t="str">
            <v>02356AYB</v>
          </cell>
          <cell r="E1620" t="str">
            <v>硬盘</v>
          </cell>
          <cell r="F1620">
            <v>5.4999999999999997E-3</v>
          </cell>
          <cell r="G1620">
            <v>0</v>
          </cell>
          <cell r="I1620" t="str">
            <v>99-003954</v>
          </cell>
        </row>
        <row r="1621">
          <cell r="B1621" t="str">
            <v>302-003837</v>
          </cell>
          <cell r="C1621" t="str">
            <v>NVMeSSD UH831a-6.4TB-PCIe4-2.5读写YL-K-HW</v>
          </cell>
          <cell r="D1621" t="str">
            <v>RP2A26T4RK004VX</v>
          </cell>
          <cell r="E1621" t="str">
            <v>硬盘</v>
          </cell>
          <cell r="F1621">
            <v>5.4999999999999997E-3</v>
          </cell>
          <cell r="G1621">
            <v>133</v>
          </cell>
          <cell r="I1621" t="str">
            <v>99-002091</v>
          </cell>
        </row>
        <row r="1622">
          <cell r="B1622" t="str">
            <v>302-003647</v>
          </cell>
          <cell r="C1622" t="str">
            <v>SSD DTS510S20-1.92T-SATA2.5读取DT-[AVAP]</v>
          </cell>
          <cell r="D1622" t="str">
            <v>J01T9SBLYAC8CDED90</v>
          </cell>
          <cell r="E1622" t="str">
            <v>硬盘</v>
          </cell>
          <cell r="F1622">
            <v>5.4999999999999997E-3</v>
          </cell>
          <cell r="G1622">
            <v>1360</v>
          </cell>
          <cell r="I1622" t="str">
            <v>99-003647</v>
          </cell>
        </row>
        <row r="1623">
          <cell r="B1623" t="str">
            <v>302-004173</v>
          </cell>
          <cell r="C1623" t="str">
            <v>SSD DTS510S20-1.92T-SATA2.5读取DT</v>
          </cell>
          <cell r="D1623" t="str">
            <v>J01T9SBLYAC8CDED90</v>
          </cell>
          <cell r="E1623" t="str">
            <v>硬盘</v>
          </cell>
          <cell r="F1623">
            <v>5.4999999999999997E-3</v>
          </cell>
          <cell r="G1623">
            <v>0</v>
          </cell>
          <cell r="I1623" t="str">
            <v>99-003647</v>
          </cell>
        </row>
        <row r="1624">
          <cell r="B1624" t="str">
            <v>302-002938</v>
          </cell>
          <cell r="C1624" t="str">
            <v>SSD DTS510S00-1.92TB-SATA 6Gb-2.5-读取 DT</v>
          </cell>
          <cell r="D1624" t="str">
            <v>J01T9SBLT3CACDED59</v>
          </cell>
          <cell r="E1624" t="str">
            <v>硬盘</v>
          </cell>
          <cell r="F1624">
            <v>5.4999999999999997E-3</v>
          </cell>
          <cell r="G1624">
            <v>0</v>
          </cell>
          <cell r="I1624" t="str">
            <v>99-003647</v>
          </cell>
        </row>
        <row r="1625">
          <cell r="B1625" t="str">
            <v>6-018133</v>
          </cell>
          <cell r="C1625" t="str">
            <v>X86 series-FCLGA3647-2400MHz-1.6V/1.83V-64bit-100000mW-Cascade lake-SP Xeon Silver 4214R-12Core-IT产品线专用</v>
          </cell>
          <cell r="D1625" t="str">
            <v>STCPU-4214R</v>
          </cell>
          <cell r="E1625" t="str">
            <v>CPU</v>
          </cell>
          <cell r="F1625">
            <v>8.5000000000000006E-3</v>
          </cell>
          <cell r="G1625">
            <v>0</v>
          </cell>
          <cell r="I1625" t="str">
            <v>77-008133</v>
          </cell>
        </row>
        <row r="1626">
          <cell r="B1626" t="str">
            <v>302-004291</v>
          </cell>
          <cell r="C1626" t="str">
            <v>光模块-200G-QSFP56-多模-850nm-300m-TRC</v>
          </cell>
          <cell r="D1626" t="str">
            <v>NA</v>
          </cell>
          <cell r="E1626" t="str">
            <v>光模块</v>
          </cell>
          <cell r="F1626">
            <v>4.1999999999999997E-3</v>
          </cell>
          <cell r="G1626">
            <v>137</v>
          </cell>
          <cell r="I1626" t="str">
            <v>99-003018</v>
          </cell>
        </row>
        <row r="1627">
          <cell r="B1627" t="str">
            <v>302-003489</v>
          </cell>
          <cell r="C1627" t="str">
            <v>NVMeSSD ES3500PV6-3.84TB-PCIe4-2.5+托读取HW</v>
          </cell>
          <cell r="D1627">
            <v>2550397</v>
          </cell>
          <cell r="E1627" t="str">
            <v>硬盘</v>
          </cell>
          <cell r="F1627">
            <v>5.4999999999999997E-3</v>
          </cell>
          <cell r="G1627">
            <v>0</v>
          </cell>
          <cell r="I1627" t="str">
            <v>99-003404</v>
          </cell>
        </row>
        <row r="1628">
          <cell r="B1628" t="str">
            <v>304-000457</v>
          </cell>
          <cell r="C1628" t="str">
            <v>A924推理典配L6-4*920 2.6G 8*910_4-2*2.5Nvme</v>
          </cell>
          <cell r="D1628" t="str">
            <v>02314VDU</v>
          </cell>
          <cell r="E1628" t="str">
            <v>L6典配</v>
          </cell>
          <cell r="F1628">
            <v>2.8999999999999998E-3</v>
          </cell>
          <cell r="G1628">
            <v>11</v>
          </cell>
        </row>
        <row r="1629">
          <cell r="B1629" t="str">
            <v>309-000380</v>
          </cell>
          <cell r="C1629" t="str">
            <v>机箱 36*3.5硬盘EXP 4U2P-无RAID SAS线1620S</v>
          </cell>
          <cell r="D1629" t="str">
            <v>02314CRE-1</v>
          </cell>
          <cell r="E1629" t="str">
            <v>机箱/硬盘背板</v>
          </cell>
          <cell r="F1629">
            <v>2.8999999999999998E-3</v>
          </cell>
          <cell r="G1629">
            <v>90</v>
          </cell>
          <cell r="I1629" t="str">
            <v>88-002660</v>
          </cell>
        </row>
        <row r="1630">
          <cell r="B1630" t="str">
            <v>302-004349</v>
          </cell>
          <cell r="C1630" t="str">
            <v>超级电容模组-64mm*51mm*13.1mm-电缆安装型-拆分自0817000</v>
          </cell>
          <cell r="D1630" t="str">
            <v>AVAG049571-22002</v>
          </cell>
          <cell r="E1630" t="str">
            <v>超级电容</v>
          </cell>
          <cell r="F1630">
            <v>3.2000000000000002E-3</v>
          </cell>
          <cell r="G1630">
            <v>0</v>
          </cell>
          <cell r="I1630" t="str">
            <v>99-001655</v>
          </cell>
        </row>
        <row r="1631">
          <cell r="B1631" t="str">
            <v>302-003693</v>
          </cell>
          <cell r="C1631" t="str">
            <v>NVMeSSDP5520-3.84T-U.2 P4.0 2.5读取-【AVAP】</v>
          </cell>
          <cell r="D1631" t="str">
            <v>NA-325</v>
          </cell>
          <cell r="E1631" t="str">
            <v>硬盘</v>
          </cell>
          <cell r="F1631">
            <v>5.4999999999999997E-3</v>
          </cell>
          <cell r="G1631">
            <v>40</v>
          </cell>
        </row>
        <row r="1632">
          <cell r="B1632" t="str">
            <v>302-003754</v>
          </cell>
          <cell r="C1632" t="str">
            <v>内存/32G/2Rx4/3200/ECC HLS</v>
          </cell>
          <cell r="D1632" t="str">
            <v>HMAG84EXNRA084N</v>
          </cell>
          <cell r="E1632" t="str">
            <v>内存</v>
          </cell>
          <cell r="F1632">
            <v>2E-3</v>
          </cell>
          <cell r="G1632">
            <v>9040</v>
          </cell>
        </row>
        <row r="1633">
          <cell r="B1633" t="str">
            <v>302-003790</v>
          </cell>
          <cell r="C1633" t="str">
            <v>NVMeSSD ES3500PV6-1.92T-PCIe4-2.5读取HW</v>
          </cell>
          <cell r="D1633" t="str">
            <v>02551073</v>
          </cell>
          <cell r="E1633" t="str">
            <v>硬盘</v>
          </cell>
          <cell r="F1633">
            <v>5.4999999999999997E-3</v>
          </cell>
          <cell r="G1633">
            <v>72</v>
          </cell>
          <cell r="I1633" t="str">
            <v>99-003790</v>
          </cell>
        </row>
        <row r="1634">
          <cell r="B1634" t="str">
            <v>302-003878</v>
          </cell>
          <cell r="C1634" t="str">
            <v>NVMeSSD ES3500PV6-1.92T-PCIe4-2.5读取HW1.1</v>
          </cell>
          <cell r="D1634" t="str">
            <v>03034XES</v>
          </cell>
          <cell r="E1634" t="str">
            <v>硬盘</v>
          </cell>
          <cell r="F1634">
            <v>5.4999999999999997E-3</v>
          </cell>
          <cell r="G1634">
            <v>0</v>
          </cell>
          <cell r="I1634" t="str">
            <v>99-003790</v>
          </cell>
        </row>
        <row r="1635">
          <cell r="B1635" t="str">
            <v>302-004004</v>
          </cell>
          <cell r="C1635" t="str">
            <v>S主板S920X20-2*7270E(64C@2.8G)-AA</v>
          </cell>
          <cell r="D1635" t="str">
            <v>03050QLW</v>
          </cell>
          <cell r="E1635" t="str">
            <v>主板</v>
          </cell>
          <cell r="F1635">
            <v>8.5000000000000006E-3</v>
          </cell>
          <cell r="G1635">
            <v>5</v>
          </cell>
        </row>
        <row r="1636">
          <cell r="B1636" t="str">
            <v>302-004096</v>
          </cell>
          <cell r="C1636" t="str">
            <v>网卡SP681-2*25G-SFP28-PCIe3.0x8-无挡片</v>
          </cell>
          <cell r="D1636" t="str">
            <v>02315ANX</v>
          </cell>
          <cell r="E1636" t="str">
            <v>网卡</v>
          </cell>
          <cell r="F1636">
            <v>5.7999999999999996E-3</v>
          </cell>
          <cell r="G1636">
            <v>428</v>
          </cell>
          <cell r="I1636" t="str">
            <v>99-003372</v>
          </cell>
        </row>
        <row r="1637">
          <cell r="B1637" t="str">
            <v>302-004228</v>
          </cell>
          <cell r="C1637" t="str">
            <v>SSD ES3521A V7-3.84T-SATA 2.5读取-HW V1.0</v>
          </cell>
          <cell r="D1637" t="str">
            <v>03035MQE/03035XXS</v>
          </cell>
          <cell r="E1637" t="str">
            <v>硬盘</v>
          </cell>
          <cell r="F1637">
            <v>5.4999999999999997E-3</v>
          </cell>
          <cell r="G1637">
            <v>897</v>
          </cell>
          <cell r="I1637" t="str">
            <v>99-003938</v>
          </cell>
        </row>
        <row r="1638">
          <cell r="B1638" t="str">
            <v>302-004321</v>
          </cell>
          <cell r="C1638" t="str">
            <v>900W 铂金交流电源  PAC900S12-BW</v>
          </cell>
          <cell r="D1638" t="str">
            <v>02131725-1</v>
          </cell>
          <cell r="E1638" t="str">
            <v>电源</v>
          </cell>
          <cell r="F1638">
            <v>5.0000000000000001E-3</v>
          </cell>
          <cell r="G1638">
            <v>281</v>
          </cell>
          <cell r="I1638" t="str">
            <v>99-000448</v>
          </cell>
        </row>
        <row r="1639">
          <cell r="B1639" t="str">
            <v>302-004334</v>
          </cell>
          <cell r="C1639" t="str">
            <v>S内存DDR5-64G-5600-2Rx4-SX</v>
          </cell>
          <cell r="D1639" t="str">
            <v>06200484-001</v>
          </cell>
          <cell r="E1639" t="str">
            <v>内存</v>
          </cell>
          <cell r="F1639">
            <v>2E-3</v>
          </cell>
          <cell r="G1639">
            <v>0</v>
          </cell>
          <cell r="I1639" t="str">
            <v>99-004141</v>
          </cell>
        </row>
        <row r="1640">
          <cell r="B1640" t="str">
            <v>302-004408</v>
          </cell>
          <cell r="C1640" t="str">
            <v>网卡MCX631102AN-ADAT-2*25-SFP28-PCIe4.0x8-无模</v>
          </cell>
          <cell r="D1640" t="str">
            <v>NA-17</v>
          </cell>
          <cell r="E1640" t="str">
            <v>网卡</v>
          </cell>
          <cell r="F1640">
            <v>5.7999999999999996E-3</v>
          </cell>
          <cell r="G1640">
            <v>20</v>
          </cell>
          <cell r="I1640" t="str">
            <v>99-002432</v>
          </cell>
        </row>
        <row r="1641">
          <cell r="B1641" t="str">
            <v>302-001677</v>
          </cell>
          <cell r="C1641" t="str">
            <v>SSD PM893读取-480GB-SATA 2.5无托</v>
          </cell>
          <cell r="D1641" t="str">
            <v>MZ7L3480HCHQ-00A07</v>
          </cell>
          <cell r="E1641" t="str">
            <v>硬盘</v>
          </cell>
          <cell r="F1641">
            <v>5.4999999999999997E-3</v>
          </cell>
          <cell r="G1641">
            <v>0</v>
          </cell>
          <cell r="I1641" t="str">
            <v>99-000750</v>
          </cell>
        </row>
        <row r="1642">
          <cell r="B1642" t="str">
            <v>302-004042</v>
          </cell>
          <cell r="C1642" t="str">
            <v>硬盘8T-3.5SATA-6G7.2K-512M-DZ-V1.0</v>
          </cell>
          <cell r="D1642" t="str">
            <v>NA-464</v>
          </cell>
          <cell r="E1642" t="str">
            <v>硬盘</v>
          </cell>
          <cell r="F1642">
            <v>5.4999999999999997E-3</v>
          </cell>
          <cell r="G1642">
            <v>0</v>
          </cell>
          <cell r="I1642" t="str">
            <v>99-001043</v>
          </cell>
        </row>
        <row r="1643">
          <cell r="B1643" t="str">
            <v>302-004067</v>
          </cell>
          <cell r="C1643" t="str">
            <v>RAID标卡SP686C-16i-4GB-PCIe4.0x8 HW-海外</v>
          </cell>
          <cell r="D1643" t="str">
            <v>02560086</v>
          </cell>
          <cell r="E1643" t="str">
            <v>RAID卡</v>
          </cell>
          <cell r="F1643">
            <v>7.7999999999999996E-3</v>
          </cell>
          <cell r="G1643">
            <v>3</v>
          </cell>
        </row>
        <row r="1644">
          <cell r="B1644" t="str">
            <v>302-004270</v>
          </cell>
          <cell r="C1644" t="str">
            <v>制成板-BBC11THBQA 12*3.5盘双RAID EXP硬盘背板</v>
          </cell>
          <cell r="D1644" t="str">
            <v>06411720</v>
          </cell>
          <cell r="E1644" t="str">
            <v>机箱/硬盘背板</v>
          </cell>
          <cell r="F1644">
            <v>2.8999999999999998E-3</v>
          </cell>
          <cell r="G1644">
            <v>508</v>
          </cell>
          <cell r="I1644" t="str">
            <v>88-000288</v>
          </cell>
        </row>
        <row r="1645">
          <cell r="B1645" t="str">
            <v>302-004271</v>
          </cell>
          <cell r="C1645" t="str">
            <v>信号线缆-0.3m-(H2x10(1.25))-(H2x10(2.0))</v>
          </cell>
          <cell r="D1645" t="str">
            <v>04051923</v>
          </cell>
          <cell r="E1645" t="str">
            <v>线缆</v>
          </cell>
          <cell r="F1645">
            <v>2E-3</v>
          </cell>
          <cell r="G1645">
            <v>510</v>
          </cell>
          <cell r="I1645" t="str">
            <v>99-000253</v>
          </cell>
        </row>
        <row r="1646">
          <cell r="B1646" t="str">
            <v>302-001025</v>
          </cell>
          <cell r="C1646" t="str">
            <v>12*3.5 EXP硬盘背板支持双RAID</v>
          </cell>
          <cell r="D1646" t="str">
            <v>06410443</v>
          </cell>
          <cell r="E1646" t="str">
            <v>机箱/硬盘背板</v>
          </cell>
          <cell r="F1646">
            <v>2.8999999999999998E-3</v>
          </cell>
          <cell r="G1646">
            <v>0</v>
          </cell>
        </row>
        <row r="1647">
          <cell r="B1647" t="str">
            <v>302-003705</v>
          </cell>
          <cell r="C1647" t="str">
            <v>NVMeSSDP5520-3.84T-U.2 P4.0 2.5读取Solidig</v>
          </cell>
          <cell r="D1647" t="str">
            <v>NA-337</v>
          </cell>
          <cell r="E1647" t="str">
            <v>硬盘</v>
          </cell>
          <cell r="F1647">
            <v>5.4999999999999997E-3</v>
          </cell>
          <cell r="G1647">
            <v>0</v>
          </cell>
        </row>
        <row r="1648">
          <cell r="B1648" t="str">
            <v>302-003014</v>
          </cell>
          <cell r="C1648" t="str">
            <v>S硬盘4T-3.5SATA-6G7.2K-256M-XS-V1.0</v>
          </cell>
          <cell r="D1648" t="str">
            <v>HUS726T4TALE6L4</v>
          </cell>
          <cell r="E1648" t="str">
            <v>硬盘</v>
          </cell>
          <cell r="F1648">
            <v>5.4999999999999997E-3</v>
          </cell>
          <cell r="G1648">
            <v>0</v>
          </cell>
          <cell r="I1648" t="str">
            <v>99-001049</v>
          </cell>
        </row>
        <row r="1649">
          <cell r="B1649" t="str">
            <v>302-004227</v>
          </cell>
          <cell r="C1649" t="str">
            <v>SSD ES3521A V7-1.92T-SATA 2.5读取-HW V1.0</v>
          </cell>
          <cell r="D1649" t="str">
            <v>03035MQD</v>
          </cell>
          <cell r="E1649" t="str">
            <v>硬盘</v>
          </cell>
          <cell r="F1649">
            <v>5.4999999999999997E-3</v>
          </cell>
          <cell r="G1649">
            <v>0</v>
          </cell>
          <cell r="I1649" t="str">
            <v>99-001354</v>
          </cell>
        </row>
        <row r="1650">
          <cell r="B1650" t="str">
            <v>302-004323</v>
          </cell>
          <cell r="C1650" t="str">
            <v>S内存DDR4-64GB-3200-2Rx4-from HW-HLS</v>
          </cell>
          <cell r="D1650">
            <v>2510288</v>
          </cell>
          <cell r="E1650" t="str">
            <v>内存</v>
          </cell>
          <cell r="F1650">
            <v>2E-3</v>
          </cell>
          <cell r="G1650">
            <v>14674</v>
          </cell>
          <cell r="I1650" t="str">
            <v>99-001862</v>
          </cell>
        </row>
        <row r="1651">
          <cell r="B1651" t="str">
            <v>302-001027</v>
          </cell>
          <cell r="C1651" t="str">
            <v>S916X00 25*2.5 EXP 2U2P机箱v3</v>
          </cell>
          <cell r="D1651" t="str">
            <v>02300913</v>
          </cell>
          <cell r="E1651" t="str">
            <v>机箱/硬盘背板</v>
          </cell>
          <cell r="F1651">
            <v>2.8999999999999998E-3</v>
          </cell>
          <cell r="G1651">
            <v>0</v>
          </cell>
        </row>
        <row r="1652">
          <cell r="B1652" t="str">
            <v>302-004141</v>
          </cell>
          <cell r="C1652" t="str">
            <v>S内存DDR5-64G-5600MT/s-SX</v>
          </cell>
          <cell r="D1652" t="str">
            <v>06200484-001</v>
          </cell>
          <cell r="E1652" t="str">
            <v>内存</v>
          </cell>
          <cell r="F1652">
            <v>2E-3</v>
          </cell>
          <cell r="G1652">
            <v>28</v>
          </cell>
          <cell r="I1652" t="str">
            <v>99-004141</v>
          </cell>
        </row>
        <row r="1653">
          <cell r="B1653" t="str">
            <v>302-004486</v>
          </cell>
          <cell r="C1653" t="str">
            <v>功能模块-Atlas 800I A2-Ascend910b4_1C-昇腾910_</v>
          </cell>
          <cell r="D1653" t="str">
            <v>02315AEV</v>
          </cell>
          <cell r="E1653" t="str">
            <v>NPU模组</v>
          </cell>
          <cell r="F1653">
            <v>6.3E-3</v>
          </cell>
          <cell r="G1653">
            <v>0</v>
          </cell>
          <cell r="I1653" t="str">
            <v>99-004167</v>
          </cell>
        </row>
        <row r="1654">
          <cell r="B1654" t="str">
            <v>302-002911</v>
          </cell>
          <cell r="C1654" t="str">
            <v>S硬盘18T-3.5SATA-6G7.2K-256M-XS-V1.0</v>
          </cell>
          <cell r="D1654" t="str">
            <v>WUH721818ALE6L4</v>
          </cell>
          <cell r="E1654" t="str">
            <v>硬盘</v>
          </cell>
          <cell r="F1654">
            <v>5.4999999999999997E-3</v>
          </cell>
          <cell r="G1654">
            <v>0</v>
          </cell>
          <cell r="I1654" t="str">
            <v>99-002102</v>
          </cell>
        </row>
        <row r="1655">
          <cell r="B1655" t="str">
            <v>302-003512</v>
          </cell>
          <cell r="C1655" t="str">
            <v>S硬盘-18T-3.5SATA-6G7.2K-256M-XJ</v>
          </cell>
          <cell r="D1655" t="str">
            <v>ST18000NM000J-2</v>
          </cell>
          <cell r="E1655" t="str">
            <v>硬盘</v>
          </cell>
          <cell r="F1655">
            <v>5.4999999999999997E-3</v>
          </cell>
          <cell r="G1655">
            <v>0</v>
          </cell>
          <cell r="I1655" t="str">
            <v>99-002102</v>
          </cell>
        </row>
        <row r="1656">
          <cell r="B1656" t="str">
            <v>302-002374</v>
          </cell>
          <cell r="C1656" t="str">
            <v>#S主板S920X00K-2*5251K(48C@2.6)-AD-1710-LJ</v>
          </cell>
          <cell r="D1656" t="str">
            <v>03050AMV-1</v>
          </cell>
          <cell r="E1656" t="str">
            <v>主板</v>
          </cell>
          <cell r="F1656">
            <v>8.5000000000000006E-3</v>
          </cell>
          <cell r="G1656">
            <v>0</v>
          </cell>
          <cell r="I1656" t="str">
            <v>99-000704</v>
          </cell>
        </row>
        <row r="1657">
          <cell r="B1657" t="str">
            <v>302-000721</v>
          </cell>
          <cell r="C1657" t="str">
            <v>Mellanox Eth 25Gb/s SFP28 AOC线50m</v>
          </cell>
          <cell r="D1657" t="str">
            <v>03024MSH-1</v>
          </cell>
          <cell r="E1657" t="str">
            <v>机箱/硬盘背板</v>
          </cell>
          <cell r="F1657">
            <v>2.8999999999999998E-3</v>
          </cell>
          <cell r="G1657">
            <v>0</v>
          </cell>
          <cell r="I1657" t="str">
            <v>88-000289</v>
          </cell>
        </row>
        <row r="1658">
          <cell r="B1658" t="str">
            <v>302-002340</v>
          </cell>
          <cell r="C1658" t="str">
            <v>功能模块-RH2288H/RH2288 V3-BC1M03RCIB-右挂耳模块</v>
          </cell>
          <cell r="D1658" t="str">
            <v>02311QCQ</v>
          </cell>
          <cell r="E1658" t="str">
            <v>挂耳</v>
          </cell>
          <cell r="F1658">
            <v>1.6000000000000001E-3</v>
          </cell>
          <cell r="G1658">
            <v>0</v>
          </cell>
        </row>
        <row r="1659">
          <cell r="B1659" t="str">
            <v>302-002338</v>
          </cell>
          <cell r="C1659" t="str">
            <v>功能模块-RH2288H/RH2288 V3-BC1M03LCIB-左挂耳模块</v>
          </cell>
          <cell r="D1659" t="str">
            <v>02311QBL</v>
          </cell>
          <cell r="E1659" t="str">
            <v>挂耳</v>
          </cell>
          <cell r="F1659">
            <v>1.6000000000000001E-3</v>
          </cell>
          <cell r="G1659">
            <v>0</v>
          </cell>
        </row>
        <row r="1660">
          <cell r="B1660" t="str">
            <v>302-000718</v>
          </cell>
          <cell r="C1660" t="str">
            <v>风扇</v>
          </cell>
          <cell r="D1660" t="str">
            <v>02311VSF-1</v>
          </cell>
          <cell r="E1660" t="str">
            <v>风扇</v>
          </cell>
          <cell r="F1660">
            <v>2.8999999999999998E-3</v>
          </cell>
          <cell r="G1660">
            <v>0</v>
          </cell>
          <cell r="I1660" t="str">
            <v>99-000434</v>
          </cell>
        </row>
        <row r="1661">
          <cell r="B1661" t="str">
            <v>302-004214</v>
          </cell>
          <cell r="C1661" t="str">
            <v>SSD ES3521A V7-480G-SATA 2.5读取-HW V1.0</v>
          </cell>
          <cell r="D1661" t="str">
            <v xml:space="preserve">	03035MQB</v>
          </cell>
          <cell r="E1661" t="str">
            <v>硬盘</v>
          </cell>
          <cell r="F1661">
            <v>5.4999999999999997E-3</v>
          </cell>
          <cell r="G1661">
            <v>616</v>
          </cell>
        </row>
        <row r="1662">
          <cell r="B1662" t="str">
            <v>302-004215</v>
          </cell>
          <cell r="C1662" t="str">
            <v>SSD ES3521A V7-960G-SATA 2.5读取-HW V1.0</v>
          </cell>
          <cell r="D1662" t="str">
            <v>03035MQC</v>
          </cell>
          <cell r="E1662" t="str">
            <v>硬盘</v>
          </cell>
          <cell r="F1662">
            <v>5.4999999999999997E-3</v>
          </cell>
          <cell r="G1662">
            <v>192</v>
          </cell>
        </row>
        <row r="1663">
          <cell r="B1663" t="str">
            <v>302-004328</v>
          </cell>
          <cell r="C1663" t="str">
            <v>SSD DTS510S23-3.84T-SATA 6Gb-2.5-读写 DT</v>
          </cell>
          <cell r="D1663" t="str">
            <v>NA-4</v>
          </cell>
          <cell r="E1663" t="str">
            <v>硬盘</v>
          </cell>
          <cell r="F1663">
            <v>5.4999999999999997E-3</v>
          </cell>
          <cell r="G1663">
            <v>2364</v>
          </cell>
          <cell r="I1663" t="str">
            <v>99-002895</v>
          </cell>
        </row>
        <row r="1664">
          <cell r="B1664" t="str">
            <v>302-004338</v>
          </cell>
          <cell r="C1664" t="str">
            <v>S内存DDR4-32G-3200-2Rx8-HLS</v>
          </cell>
          <cell r="D1664" t="str">
            <v>HMAG88DXNRB204N</v>
          </cell>
          <cell r="E1664" t="str">
            <v>内存</v>
          </cell>
          <cell r="F1664">
            <v>2E-3</v>
          </cell>
          <cell r="G1664">
            <v>7128</v>
          </cell>
          <cell r="I1664" t="str">
            <v>99-001514</v>
          </cell>
        </row>
        <row r="1665">
          <cell r="B1665" t="str">
            <v>302-004411</v>
          </cell>
          <cell r="C1665" t="str">
            <v>NVMeSSD ES3500PV6-7.68T-PCIe4-2.5读取HW1.4</v>
          </cell>
          <cell r="D1665" t="str">
            <v>03034XEW</v>
          </cell>
          <cell r="E1665" t="str">
            <v>硬盘</v>
          </cell>
          <cell r="F1665">
            <v>5.4999999999999997E-3</v>
          </cell>
          <cell r="G1665">
            <v>958</v>
          </cell>
          <cell r="I1665" t="str">
            <v>99-003537</v>
          </cell>
        </row>
        <row r="1666">
          <cell r="B1666" t="str">
            <v>302-004314</v>
          </cell>
          <cell r="C1666" t="str">
            <v>直通背板低速线04080824</v>
          </cell>
          <cell r="D1666" t="str">
            <v>04080824</v>
          </cell>
          <cell r="E1666" t="str">
            <v>线缆</v>
          </cell>
          <cell r="F1666">
            <v>2E-3</v>
          </cell>
          <cell r="G1666">
            <v>215</v>
          </cell>
        </row>
        <row r="1667">
          <cell r="B1667" t="str">
            <v>302-002952</v>
          </cell>
          <cell r="C1667" t="str">
            <v>NVMeSSD S2000E-1.92T-U.2 Pcie4 2.5-读取YX</v>
          </cell>
          <cell r="D1667" t="str">
            <v>S2000E-YE2-U2A01T9</v>
          </cell>
          <cell r="E1667" t="str">
            <v>硬盘</v>
          </cell>
          <cell r="F1667">
            <v>5.4999999999999997E-3</v>
          </cell>
          <cell r="G1667">
            <v>0</v>
          </cell>
        </row>
        <row r="1668">
          <cell r="B1668" t="str">
            <v>302-004082</v>
          </cell>
          <cell r="C1668" t="str">
            <v>内存DDR4-32G-2400-2R×4 HLS</v>
          </cell>
          <cell r="D1668" t="str">
            <v>NA-197</v>
          </cell>
          <cell r="E1668" t="str">
            <v>内存</v>
          </cell>
          <cell r="F1668">
            <v>2E-3</v>
          </cell>
          <cell r="G1668">
            <v>0</v>
          </cell>
        </row>
        <row r="1669">
          <cell r="B1669" t="str">
            <v>302-004171</v>
          </cell>
          <cell r="C1669" t="str">
            <v>310P普温芯片@70T，低功耗</v>
          </cell>
          <cell r="D1669" t="str">
            <v>02315FKF</v>
          </cell>
          <cell r="E1669" t="str">
            <v>其他部件</v>
          </cell>
          <cell r="F1669">
            <v>3.0999999999999999E-3</v>
          </cell>
          <cell r="G1669">
            <v>60</v>
          </cell>
        </row>
        <row r="1670">
          <cell r="B1670" t="str">
            <v>302-004273</v>
          </cell>
          <cell r="C1670" t="str">
            <v>310P普温芯片@100T，低功耗</v>
          </cell>
          <cell r="D1670" t="str">
            <v>02315FKD</v>
          </cell>
          <cell r="E1670" t="str">
            <v>其他部件</v>
          </cell>
          <cell r="F1670">
            <v>3.0999999999999999E-3</v>
          </cell>
          <cell r="G1670">
            <v>60</v>
          </cell>
        </row>
        <row r="1671">
          <cell r="B1671" t="str">
            <v>309-000386</v>
          </cell>
          <cell r="C1671" t="str">
            <v>1*机箱2U2P-8*2.5英寸硬盘直通 2U标准机箱（白牌）-天池</v>
          </cell>
          <cell r="D1671" t="str">
            <v>02314GUN</v>
          </cell>
          <cell r="E1671" t="str">
            <v>机箱/硬盘背板</v>
          </cell>
          <cell r="F1671">
            <v>2.8999999999999998E-3</v>
          </cell>
          <cell r="G1671">
            <v>458</v>
          </cell>
          <cell r="I1671" t="str">
            <v>88-002691</v>
          </cell>
        </row>
        <row r="1672">
          <cell r="B1672" t="str">
            <v>309-000146</v>
          </cell>
          <cell r="C1672" t="str">
            <v>机箱 25*2.5硬盘EXP 2U2P,K22R-02 1620S</v>
          </cell>
          <cell r="D1672" t="str">
            <v>02312YTE</v>
          </cell>
          <cell r="E1672" t="str">
            <v>机箱/硬盘背板</v>
          </cell>
          <cell r="F1672">
            <v>2.8999999999999998E-3</v>
          </cell>
          <cell r="G1672">
            <v>51</v>
          </cell>
          <cell r="I1672" t="str">
            <v>88-000289</v>
          </cell>
        </row>
        <row r="1673">
          <cell r="B1673" t="str">
            <v>302-003587</v>
          </cell>
          <cell r="C1673" t="str">
            <v>S硬盘-8T-3.5SAS 12Gb/s-7.2K-256M-DZ</v>
          </cell>
          <cell r="D1673" t="str">
            <v>MG08SDA800E</v>
          </cell>
          <cell r="E1673" t="str">
            <v>硬盘</v>
          </cell>
          <cell r="F1673">
            <v>5.4999999999999997E-3</v>
          </cell>
          <cell r="G1673">
            <v>0</v>
          </cell>
          <cell r="I1673" t="str">
            <v>99-004046</v>
          </cell>
        </row>
        <row r="1674">
          <cell r="B1674" t="str">
            <v>302-004046</v>
          </cell>
          <cell r="C1674" t="str">
            <v>S硬盘8T-3.5SAS-12G7.2K-512M-DZ-V1.0</v>
          </cell>
          <cell r="D1674" t="str">
            <v>NA</v>
          </cell>
          <cell r="E1674" t="str">
            <v>硬盘</v>
          </cell>
          <cell r="F1674">
            <v>5.4999999999999997E-3</v>
          </cell>
          <cell r="G1674">
            <v>16</v>
          </cell>
          <cell r="I1674" t="str">
            <v>99-004046</v>
          </cell>
        </row>
        <row r="1675">
          <cell r="B1675" t="str">
            <v>302-003945</v>
          </cell>
          <cell r="C1675" t="str">
            <v>310P-昇龙项目PCIE4.0高速互联线缆30厘米长</v>
          </cell>
          <cell r="D1675" t="str">
            <v>无</v>
          </cell>
          <cell r="E1675" t="str">
            <v>线缆</v>
          </cell>
          <cell r="F1675">
            <v>2E-3</v>
          </cell>
          <cell r="G1675">
            <v>0</v>
          </cell>
        </row>
        <row r="1676">
          <cell r="B1676" t="str">
            <v>302-004027</v>
          </cell>
          <cell r="C1676" t="str">
            <v>310P-6010轴流风机</v>
          </cell>
          <cell r="D1676" t="str">
            <v>JF0625K1</v>
          </cell>
          <cell r="E1676" t="str">
            <v>其他部件</v>
          </cell>
          <cell r="F1676">
            <v>3.0999999999999999E-3</v>
          </cell>
          <cell r="G1676">
            <v>0</v>
          </cell>
        </row>
        <row r="1677">
          <cell r="B1677" t="str">
            <v>302-004431</v>
          </cell>
          <cell r="C1677" t="str">
            <v>310P国产化模组-48G内存（不含NPU）</v>
          </cell>
          <cell r="D1677" t="str">
            <v>NA-96</v>
          </cell>
          <cell r="E1677" t="str">
            <v>内存</v>
          </cell>
          <cell r="F1677">
            <v>2E-3</v>
          </cell>
          <cell r="G1677">
            <v>0</v>
          </cell>
        </row>
        <row r="1678">
          <cell r="B1678" t="str">
            <v>302-004073</v>
          </cell>
          <cell r="C1678" t="str">
            <v>310P-港奇12V/18A电源适配器</v>
          </cell>
          <cell r="D1678" t="str">
            <v>GQ240A-1201800-E1</v>
          </cell>
          <cell r="E1678" t="str">
            <v>其他部件</v>
          </cell>
          <cell r="F1678">
            <v>3.0999999999999999E-3</v>
          </cell>
          <cell r="G1678">
            <v>0</v>
          </cell>
        </row>
        <row r="1679">
          <cell r="B1679" t="str">
            <v>302-003946</v>
          </cell>
          <cell r="C1679" t="str">
            <v>310P项目载板V2.00版本</v>
          </cell>
          <cell r="D1679" t="str">
            <v>无</v>
          </cell>
          <cell r="E1679" t="str">
            <v>其他部件</v>
          </cell>
          <cell r="F1679">
            <v>3.0999999999999999E-3</v>
          </cell>
          <cell r="G1679">
            <v>0</v>
          </cell>
        </row>
        <row r="1680">
          <cell r="B1680" t="str">
            <v>304-000597</v>
          </cell>
          <cell r="C1680" t="str">
            <v>M300-P01 DK（48显存，含国产宽温模组）</v>
          </cell>
          <cell r="D1680" t="str">
            <v>无</v>
          </cell>
          <cell r="E1680" t="str">
            <v>其他半成品</v>
          </cell>
          <cell r="F1680">
            <v>3.0999999999999999E-3</v>
          </cell>
          <cell r="G1680">
            <v>3</v>
          </cell>
        </row>
        <row r="1681">
          <cell r="B1681" t="str">
            <v>302-003048</v>
          </cell>
          <cell r="C1681" t="str">
            <v>S内存DDR4-32G-2933-2Rx4-RD MG V1.0</v>
          </cell>
          <cell r="D1681" t="str">
            <v>02312VWJ</v>
          </cell>
          <cell r="E1681" t="str">
            <v>内存</v>
          </cell>
          <cell r="F1681">
            <v>2E-3</v>
          </cell>
          <cell r="G1681">
            <v>0</v>
          </cell>
          <cell r="I1681" t="str">
            <v>99-001067</v>
          </cell>
        </row>
        <row r="1682">
          <cell r="B1682" t="str">
            <v>302-002783</v>
          </cell>
          <cell r="C1682" t="str">
            <v>网卡MCX623106AN 2*100G QSFP56无模HHHL-V1.1</v>
          </cell>
          <cell r="D1682" t="str">
            <v>99015HYQ</v>
          </cell>
          <cell r="E1682" t="str">
            <v>网卡</v>
          </cell>
          <cell r="F1682">
            <v>5.7999999999999996E-3</v>
          </cell>
          <cell r="G1682">
            <v>0</v>
          </cell>
          <cell r="I1682" t="str">
            <v>99-003021</v>
          </cell>
        </row>
        <row r="1683">
          <cell r="B1683" t="str">
            <v>302-004319</v>
          </cell>
          <cell r="C1683" t="str">
            <v>S内存DDR5-32G-5600MT/s-2Rx8-HLS V1.0</v>
          </cell>
          <cell r="D1683" t="str">
            <v>02510216</v>
          </cell>
          <cell r="E1683" t="str">
            <v>内存</v>
          </cell>
          <cell r="F1683">
            <v>2E-3</v>
          </cell>
          <cell r="G1683">
            <v>0</v>
          </cell>
          <cell r="I1683" t="str">
            <v>99-003842</v>
          </cell>
        </row>
        <row r="1684">
          <cell r="B1684" t="str">
            <v>302-004526</v>
          </cell>
          <cell r="C1684" t="str">
            <v>沪河4U8卡-GPU-DUO卡供电线-300mm</v>
          </cell>
          <cell r="D1684" t="str">
            <v>沪河4U8卡-GPU-DUO卡供电线</v>
          </cell>
          <cell r="E1684" t="str">
            <v>线缆</v>
          </cell>
          <cell r="F1684">
            <v>2E-3</v>
          </cell>
          <cell r="G1684">
            <v>0</v>
          </cell>
        </row>
        <row r="1685">
          <cell r="B1685" t="str">
            <v>302-004483</v>
          </cell>
          <cell r="C1685" t="str">
            <v>A300I A2-PCI-E5.0x16(FHFL)-32G-350W-双槽位</v>
          </cell>
          <cell r="D1685" t="str">
            <v>02315LPA</v>
          </cell>
          <cell r="E1685" t="str">
            <v>AI推理卡</v>
          </cell>
          <cell r="F1685">
            <v>6.3E-3</v>
          </cell>
          <cell r="G1685">
            <v>0</v>
          </cell>
        </row>
        <row r="1686">
          <cell r="B1686" t="str">
            <v>302-004444</v>
          </cell>
          <cell r="C1686" t="str">
            <v>沪河4U8卡-GPU-供电线-300mm</v>
          </cell>
          <cell r="D1686" t="str">
            <v>沪河4U8卡GPU供电线</v>
          </cell>
          <cell r="E1686" t="str">
            <v>线缆</v>
          </cell>
          <cell r="F1686">
            <v>2E-3</v>
          </cell>
          <cell r="G1686">
            <v>0</v>
          </cell>
        </row>
        <row r="1687">
          <cell r="B1687" t="str">
            <v>302-004286</v>
          </cell>
          <cell r="C1687" t="str">
            <v>扩展板到沐曦C500GPU卡电源线缆,1分2,300mm-4U8卡项目</v>
          </cell>
          <cell r="D1687" t="str">
            <v>120500001856H</v>
          </cell>
          <cell r="E1687" t="str">
            <v>线缆</v>
          </cell>
          <cell r="F1687">
            <v>2E-3</v>
          </cell>
          <cell r="G1687">
            <v>0</v>
          </cell>
        </row>
        <row r="1688">
          <cell r="B1688" t="str">
            <v>302-004140</v>
          </cell>
          <cell r="C1688" t="str">
            <v>MX-C500_PCIe互联桥_风冷</v>
          </cell>
          <cell r="D1688" t="str">
            <v>无</v>
          </cell>
          <cell r="E1688" t="str">
            <v>其他部件</v>
          </cell>
          <cell r="F1688">
            <v>3.0999999999999999E-3</v>
          </cell>
          <cell r="G1688">
            <v>0</v>
          </cell>
        </row>
        <row r="1689">
          <cell r="B1689" t="str">
            <v>302-001818</v>
          </cell>
          <cell r="C1689" t="str">
            <v>S内存DDR4-32G-3200-2Rx8-RD V1.0</v>
          </cell>
          <cell r="D1689" t="str">
            <v>M432R32X8/99015CYH</v>
          </cell>
          <cell r="E1689" t="str">
            <v>内存</v>
          </cell>
          <cell r="F1689">
            <v>2E-3</v>
          </cell>
          <cell r="G1689">
            <v>4</v>
          </cell>
          <cell r="I1689" t="str">
            <v>99-001115</v>
          </cell>
        </row>
        <row r="1690">
          <cell r="B1690" t="str">
            <v>302-003395</v>
          </cell>
          <cell r="C1690" t="str">
            <v>RAID标卡SP686C-40i-4GB-PCIe4.0x8-FHHL HW</v>
          </cell>
          <cell r="D1690" t="str">
            <v>02313XXC</v>
          </cell>
          <cell r="E1690" t="str">
            <v>RAID卡</v>
          </cell>
          <cell r="F1690">
            <v>7.7999999999999996E-3</v>
          </cell>
          <cell r="G1690">
            <v>0</v>
          </cell>
        </row>
        <row r="1691">
          <cell r="B1691" t="str">
            <v>302-003523</v>
          </cell>
          <cell r="C1691" t="str">
            <v>机箱2U2P-36*3.5SATA-直通-S00</v>
          </cell>
          <cell r="D1691" t="str">
            <v>02314HTR</v>
          </cell>
          <cell r="E1691" t="str">
            <v>机箱/硬盘背板</v>
          </cell>
          <cell r="F1691">
            <v>2.8999999999999998E-3</v>
          </cell>
          <cell r="G1691">
            <v>0</v>
          </cell>
        </row>
        <row r="1692">
          <cell r="B1692" t="str">
            <v>302-003536</v>
          </cell>
          <cell r="C1692" t="str">
            <v>SSD ES3521AV6-1.92T-SATA-6G-2.5读取HW 侧底孔</v>
          </cell>
          <cell r="D1692" t="str">
            <v>03034QLN</v>
          </cell>
          <cell r="E1692" t="str">
            <v>硬盘</v>
          </cell>
          <cell r="F1692">
            <v>5.4999999999999997E-3</v>
          </cell>
          <cell r="G1692">
            <v>0</v>
          </cell>
          <cell r="I1692" t="str">
            <v>99-001354</v>
          </cell>
        </row>
        <row r="1693">
          <cell r="B1693" t="str">
            <v>302-003708</v>
          </cell>
          <cell r="C1693" t="str">
            <v>SSD S4620-3.84T-SATA-2.5 读写 Solidigm</v>
          </cell>
          <cell r="D1693" t="str">
            <v>SSDSC2KG038TZ</v>
          </cell>
          <cell r="E1693" t="str">
            <v>硬盘</v>
          </cell>
          <cell r="F1693">
            <v>5.4999999999999997E-3</v>
          </cell>
          <cell r="G1693">
            <v>0</v>
          </cell>
          <cell r="I1693" t="str">
            <v>99-003708</v>
          </cell>
        </row>
        <row r="1694">
          <cell r="B1694" t="str">
            <v>302-003848</v>
          </cell>
          <cell r="C1694" t="str">
            <v>SSD DTS510S20-7.68T-SATA2.5读取DT</v>
          </cell>
          <cell r="D1694" t="str">
            <v>NA</v>
          </cell>
          <cell r="E1694" t="str">
            <v>硬盘</v>
          </cell>
          <cell r="F1694">
            <v>5.4999999999999997E-3</v>
          </cell>
          <cell r="G1694">
            <v>13</v>
          </cell>
        </row>
        <row r="1695">
          <cell r="B1695" t="str">
            <v>302-004045</v>
          </cell>
          <cell r="C1695" t="str">
            <v>S硬盘4T-3.5SAS-12G7.2K-512M-DZ-V1.0</v>
          </cell>
          <cell r="D1695" t="str">
            <v>NA</v>
          </cell>
          <cell r="E1695" t="str">
            <v>硬盘</v>
          </cell>
          <cell r="F1695">
            <v>5.4999999999999997E-3</v>
          </cell>
          <cell r="G1695">
            <v>0</v>
          </cell>
          <cell r="I1695" t="str">
            <v>99-001846</v>
          </cell>
        </row>
        <row r="1696">
          <cell r="B1696" t="str">
            <v>302-004074</v>
          </cell>
          <cell r="C1696" t="str">
            <v>高速电缆内部Slimline-2*mini SAS HD-0.85m&amp;0.75m</v>
          </cell>
          <cell r="D1696" t="str">
            <v>04052867-004</v>
          </cell>
          <cell r="E1696" t="str">
            <v>线缆</v>
          </cell>
          <cell r="F1696">
            <v>2E-3</v>
          </cell>
          <cell r="G1696">
            <v>0</v>
          </cell>
          <cell r="I1696" t="str">
            <v>99-001780</v>
          </cell>
        </row>
        <row r="1697">
          <cell r="B1697" t="str">
            <v>302-004241</v>
          </cell>
          <cell r="C1697" t="str">
            <v>S主板S920X20-2*7280Z(80C@2.9G)-AJ</v>
          </cell>
          <cell r="D1697" t="str">
            <v>03050REA</v>
          </cell>
          <cell r="E1697" t="str">
            <v>主板</v>
          </cell>
          <cell r="F1697">
            <v>8.5000000000000006E-3</v>
          </cell>
          <cell r="G1697">
            <v>0</v>
          </cell>
        </row>
        <row r="1698">
          <cell r="B1698" t="str">
            <v>302-004341</v>
          </cell>
          <cell r="C1698" t="str">
            <v>SSD ES3500SV6-7.68T-SAS-12G-2.5读取HW</v>
          </cell>
          <cell r="D1698">
            <v>2551199</v>
          </cell>
          <cell r="E1698" t="str">
            <v>硬盘</v>
          </cell>
          <cell r="F1698">
            <v>5.4999999999999997E-3</v>
          </cell>
          <cell r="G1698">
            <v>0</v>
          </cell>
          <cell r="I1698" t="str">
            <v>99-004341</v>
          </cell>
        </row>
        <row r="1699">
          <cell r="B1699" t="str">
            <v>302-004406</v>
          </cell>
          <cell r="C1699" t="str">
            <v>800T A2-SF216D板载灵活网卡-200GE-2P-QSFP56</v>
          </cell>
          <cell r="D1699">
            <v>302085090</v>
          </cell>
          <cell r="E1699" t="str">
            <v>灵活网卡</v>
          </cell>
          <cell r="F1699">
            <v>5.7999999999999996E-3</v>
          </cell>
          <cell r="G1699">
            <v>4</v>
          </cell>
          <cell r="I1699" t="str">
            <v>99-002709</v>
          </cell>
        </row>
        <row r="1700">
          <cell r="B1700" t="str">
            <v>302-004410</v>
          </cell>
          <cell r="C1700" t="str">
            <v>SSD-1.92T-SATA2.5RSYE3836M读写JBL for HW</v>
          </cell>
          <cell r="D1700" t="str">
            <v>06211247/02551647</v>
          </cell>
          <cell r="E1700" t="str">
            <v>硬盘</v>
          </cell>
          <cell r="F1700">
            <v>5.4999999999999997E-3</v>
          </cell>
          <cell r="G1700">
            <v>0</v>
          </cell>
        </row>
        <row r="1701">
          <cell r="B1701" t="str">
            <v>302-004542</v>
          </cell>
          <cell r="C1701" t="str">
            <v>A924 RAID卡超级电容</v>
          </cell>
          <cell r="D1701" t="str">
            <v>02315FBJ</v>
          </cell>
          <cell r="E1701" t="str">
            <v>超级电容</v>
          </cell>
          <cell r="F1701">
            <v>3.2000000000000002E-3</v>
          </cell>
          <cell r="G1701">
            <v>1</v>
          </cell>
        </row>
        <row r="1702">
          <cell r="B1702" t="str">
            <v>309-000387</v>
          </cell>
          <cell r="C1702" t="str">
            <v>1*机箱2U2P-12*3.5英寸硬盘EXP 2U标准机箱（白牌）-天池</v>
          </cell>
          <cell r="D1702" t="str">
            <v>02314GUU</v>
          </cell>
          <cell r="E1702" t="str">
            <v>机箱/硬盘背板</v>
          </cell>
          <cell r="F1702">
            <v>2.8999999999999998E-3</v>
          </cell>
          <cell r="G1702">
            <v>4</v>
          </cell>
          <cell r="I1702" t="str">
            <v>88-002689</v>
          </cell>
        </row>
        <row r="1703">
          <cell r="B1703" t="str">
            <v>302-003662</v>
          </cell>
          <cell r="C1703" t="str">
            <v>高速板对板UBC弯式转弯式-500mm-32000MB/s-1.57mm-高性能</v>
          </cell>
          <cell r="D1703" t="str">
            <v>14270054-005</v>
          </cell>
          <cell r="E1703" t="str">
            <v>线缆</v>
          </cell>
          <cell r="F1703">
            <v>2E-3</v>
          </cell>
          <cell r="G1703">
            <v>0</v>
          </cell>
        </row>
        <row r="1704">
          <cell r="B1704" t="str">
            <v>302-003676</v>
          </cell>
          <cell r="C1704" t="str">
            <v>高速板对板UBC弯式转弯式-400mm-32000MB/s-1.57mm-高性能</v>
          </cell>
          <cell r="D1704" t="str">
            <v>14270054-003</v>
          </cell>
          <cell r="E1704" t="str">
            <v>线缆</v>
          </cell>
          <cell r="F1704">
            <v>2E-3</v>
          </cell>
          <cell r="G1704">
            <v>0</v>
          </cell>
        </row>
        <row r="1705">
          <cell r="B1705" t="str">
            <v>302-004418</v>
          </cell>
          <cell r="C1705" t="str">
            <v>电源电缆-0.17&amp;0,2m-黑-(H2X6(3.0)-(18UL2651(8C</v>
          </cell>
          <cell r="D1705" t="str">
            <v>04154105-005</v>
          </cell>
          <cell r="E1705" t="str">
            <v>线缆</v>
          </cell>
          <cell r="F1705">
            <v>2E-3</v>
          </cell>
          <cell r="G1705">
            <v>0</v>
          </cell>
        </row>
        <row r="1706">
          <cell r="B1706" t="str">
            <v>302-004413</v>
          </cell>
          <cell r="C1706" t="str">
            <v>监接和告警电缆-信号线-0.12m-(H2X6(2.0))-(10*UL1685</v>
          </cell>
          <cell r="D1706" t="str">
            <v>04080974-005</v>
          </cell>
          <cell r="E1706" t="str">
            <v>线缆</v>
          </cell>
          <cell r="F1706">
            <v>2E-3</v>
          </cell>
          <cell r="G1706">
            <v>0</v>
          </cell>
        </row>
        <row r="1707">
          <cell r="B1707" t="str">
            <v>302-004416</v>
          </cell>
          <cell r="C1707" t="str">
            <v>制成板S200-2280-BC83NHBF-4*NVMe(2*SAS/SATA)</v>
          </cell>
          <cell r="D1707">
            <v>302024340</v>
          </cell>
          <cell r="E1707" t="str">
            <v>线缆</v>
          </cell>
          <cell r="F1707">
            <v>2E-3</v>
          </cell>
          <cell r="G1707">
            <v>0</v>
          </cell>
        </row>
        <row r="1708">
          <cell r="B1708" t="str">
            <v>309-000384</v>
          </cell>
          <cell r="C1708" t="str">
            <v>1*机箱2U2P-4SAS+12NVME硬盘直通标准机箱（白牌）-X10-天池</v>
          </cell>
          <cell r="D1708" t="str">
            <v>02314SUL-1</v>
          </cell>
          <cell r="E1708" t="str">
            <v>机箱/硬盘背板</v>
          </cell>
          <cell r="F1708">
            <v>2.8999999999999998E-3</v>
          </cell>
          <cell r="G1708">
            <v>1</v>
          </cell>
          <cell r="I1708" t="str">
            <v>88-003411</v>
          </cell>
        </row>
        <row r="1709">
          <cell r="B1709" t="str">
            <v>302-004150</v>
          </cell>
          <cell r="C1709" t="str">
            <v>4U8卡-S主板S920X20-2*5250Z(48C@2.6G)-AA</v>
          </cell>
          <cell r="D1709" t="str">
            <v>03050QEM</v>
          </cell>
          <cell r="E1709" t="str">
            <v>主板</v>
          </cell>
          <cell r="F1709">
            <v>8.5000000000000006E-3</v>
          </cell>
          <cell r="G1709">
            <v>0</v>
          </cell>
        </row>
        <row r="1710">
          <cell r="B1710" t="str">
            <v>302-004112</v>
          </cell>
          <cell r="C1710" t="str">
            <v>4U8卡-鲲鹏920B基础板UBCDD到PCIeSwitch板MCIO高速线缆,300mm</v>
          </cell>
          <cell r="D1710" t="str">
            <v>UBCDD-MCIO-0300</v>
          </cell>
          <cell r="E1710" t="str">
            <v>线缆</v>
          </cell>
          <cell r="F1710">
            <v>2E-3</v>
          </cell>
          <cell r="G1710">
            <v>0</v>
          </cell>
        </row>
        <row r="1711">
          <cell r="B1711" t="str">
            <v>302-004136</v>
          </cell>
          <cell r="C1711" t="str">
            <v>4U8卡-PCIeSwitch板MCIO到前置硬盘背板UBC高速线缆,900mm</v>
          </cell>
          <cell r="D1711" t="str">
            <v>MCIO-UBC-0900</v>
          </cell>
          <cell r="E1711" t="str">
            <v>线缆</v>
          </cell>
          <cell r="F1711">
            <v>2E-3</v>
          </cell>
          <cell r="G1711">
            <v>0</v>
          </cell>
        </row>
        <row r="1712">
          <cell r="B1712" t="str">
            <v>302-004137</v>
          </cell>
          <cell r="C1712" t="str">
            <v>4U8卡-鲲鹏920B基础板UBCDD到PCIeSwitch板MCIO高速线缆,350mm</v>
          </cell>
          <cell r="D1712" t="str">
            <v>UBCDD-MCIO-0350</v>
          </cell>
          <cell r="E1712" t="str">
            <v>线缆</v>
          </cell>
          <cell r="F1712">
            <v>2E-3</v>
          </cell>
          <cell r="G1712">
            <v>0</v>
          </cell>
        </row>
        <row r="1713">
          <cell r="B1713" t="str">
            <v>302-004135</v>
          </cell>
          <cell r="C1713" t="str">
            <v>4U8卡-鲲鹏920B基础板UBC到PCIeSwitch板MCIO高速线缆,250mm</v>
          </cell>
          <cell r="D1713" t="str">
            <v>UBC-MCIO-0250</v>
          </cell>
          <cell r="E1713" t="str">
            <v>线缆</v>
          </cell>
          <cell r="F1713">
            <v>2E-3</v>
          </cell>
          <cell r="G1713">
            <v>0</v>
          </cell>
        </row>
        <row r="1714">
          <cell r="B1714" t="str">
            <v>302-004402</v>
          </cell>
          <cell r="C1714" t="str">
            <v>4U8卡-沪河4U8卡-风扇模组-424.1X135.8X102.3-金属+PC</v>
          </cell>
          <cell r="D1714" t="str">
            <v>沪河4U8卡-风扇模组</v>
          </cell>
          <cell r="E1714" t="str">
            <v>风扇</v>
          </cell>
          <cell r="F1714">
            <v>2.8999999999999998E-3</v>
          </cell>
          <cell r="G1714">
            <v>0</v>
          </cell>
        </row>
        <row r="1715">
          <cell r="B1715" t="str">
            <v>302-004108</v>
          </cell>
          <cell r="C1715" t="str">
            <v>4U8卡-鲲鹏920B基础板UBC到扩展板MCIO高速线缆,BMC/M.2专用,150mm</v>
          </cell>
          <cell r="D1715" t="str">
            <v>UBC-MCIO-BMC-0150</v>
          </cell>
          <cell r="E1715" t="str">
            <v>线缆</v>
          </cell>
          <cell r="F1715">
            <v>2E-3</v>
          </cell>
          <cell r="G1715">
            <v>0</v>
          </cell>
        </row>
        <row r="1716">
          <cell r="B1716" t="str">
            <v>302-004109</v>
          </cell>
          <cell r="C1716" t="str">
            <v>4U8卡-鲲鹏920B基础板UBC到扩展板SlimSAS低速线缆,低速,150mm</v>
          </cell>
          <cell r="D1716" t="str">
            <v>UBC-SLIMSAS-0150</v>
          </cell>
          <cell r="E1716" t="str">
            <v>线缆</v>
          </cell>
          <cell r="F1716">
            <v>2E-3</v>
          </cell>
          <cell r="G1716">
            <v>0</v>
          </cell>
        </row>
        <row r="1717">
          <cell r="B1717" t="str">
            <v>302-004110</v>
          </cell>
          <cell r="C1717" t="str">
            <v>4U8卡-鲲鹏920B基础板UBC到OCP板MCIO高速线缆,450mm,A1-B1</v>
          </cell>
          <cell r="D1717" t="str">
            <v>UBC-MCIO-OCP-0450</v>
          </cell>
          <cell r="E1717" t="str">
            <v>线缆</v>
          </cell>
          <cell r="F1717">
            <v>2E-3</v>
          </cell>
          <cell r="G1717">
            <v>0</v>
          </cell>
        </row>
        <row r="1718">
          <cell r="B1718" t="str">
            <v>302-004272</v>
          </cell>
          <cell r="C1718" t="str">
            <v>4U8卡-木犀Switch板内部MCIO高速线缆,A1对B1,480mm</v>
          </cell>
          <cell r="D1718" t="str">
            <v>120500001852H</v>
          </cell>
          <cell r="E1718" t="str">
            <v>线缆</v>
          </cell>
          <cell r="F1718">
            <v>2E-3</v>
          </cell>
          <cell r="G1718">
            <v>0</v>
          </cell>
        </row>
        <row r="1719">
          <cell r="B1719" t="str">
            <v>302-004285</v>
          </cell>
          <cell r="C1719" t="str">
            <v>4U8卡-木犀Switch板内部MCIO高速线缆,A1对B1,400mm</v>
          </cell>
          <cell r="D1719" t="str">
            <v>120500001853H</v>
          </cell>
          <cell r="E1719" t="str">
            <v>线缆</v>
          </cell>
          <cell r="F1719">
            <v>2E-3</v>
          </cell>
          <cell r="G1719">
            <v>0</v>
          </cell>
        </row>
        <row r="1720">
          <cell r="B1720" t="str">
            <v>302-004129</v>
          </cell>
          <cell r="C1720" t="str">
            <v>4U8卡-扩展板到鲲鹏920B基础板供电线缆L1,左侧,正红负黑,线长150mm</v>
          </cell>
          <cell r="D1720" t="str">
            <v>DY130-MRP0208-XL1</v>
          </cell>
          <cell r="E1720" t="str">
            <v>线缆</v>
          </cell>
          <cell r="F1720">
            <v>2E-3</v>
          </cell>
          <cell r="G1720">
            <v>0</v>
          </cell>
        </row>
        <row r="1721">
          <cell r="B1721" t="str">
            <v>302-004128</v>
          </cell>
          <cell r="C1721" t="str">
            <v>4U8卡-扩展板到鲲鹏920B基础板供电线缆R1,右侧,正红负黑,线长150mm</v>
          </cell>
          <cell r="D1721" t="str">
            <v>DY130-MRP0208-XL2</v>
          </cell>
          <cell r="E1721" t="str">
            <v>线缆</v>
          </cell>
          <cell r="F1721">
            <v>2E-3</v>
          </cell>
          <cell r="G1721">
            <v>0</v>
          </cell>
        </row>
        <row r="1722">
          <cell r="B1722" t="str">
            <v>302-004284</v>
          </cell>
          <cell r="C1722" t="str">
            <v>4U8卡-扩展板到风扇板电源线缆,华丰DY130-FVP0201,590mm,1分2</v>
          </cell>
          <cell r="D1722" t="str">
            <v>120500001855H</v>
          </cell>
          <cell r="E1722" t="str">
            <v>线缆</v>
          </cell>
          <cell r="F1722">
            <v>2E-3</v>
          </cell>
          <cell r="G1722">
            <v>0</v>
          </cell>
        </row>
        <row r="1723">
          <cell r="B1723" t="str">
            <v>302-004122</v>
          </cell>
          <cell r="C1723" t="str">
            <v>4U8卡-扩展板到风扇板电源线缆,华丰DY130-FVP0201,800mm,引脚1对1</v>
          </cell>
          <cell r="D1723" t="str">
            <v>EXU-FAN-PWR-0800</v>
          </cell>
          <cell r="E1723" t="str">
            <v>线缆</v>
          </cell>
          <cell r="F1723">
            <v>2E-3</v>
          </cell>
          <cell r="G1723">
            <v>0</v>
          </cell>
        </row>
        <row r="1724">
          <cell r="B1724" t="str">
            <v>302-004124</v>
          </cell>
          <cell r="C1724" t="str">
            <v>4U8卡-扩展板到M.2板电源线缆,700mm,12pin转6pin(RA),A1-A1</v>
          </cell>
          <cell r="D1724" t="str">
            <v>EXU-M2-PWR-0700</v>
          </cell>
          <cell r="E1724" t="str">
            <v>线缆</v>
          </cell>
          <cell r="F1724">
            <v>2E-3</v>
          </cell>
          <cell r="G1724">
            <v>0</v>
          </cell>
        </row>
        <row r="1725">
          <cell r="B1725" t="str">
            <v>302-004111</v>
          </cell>
          <cell r="C1725" t="str">
            <v>4U8卡-扩展板SlimSAS(VT)到OCP板SlimSAS(RA)低速线缆,150mm</v>
          </cell>
          <cell r="D1725" t="str">
            <v>UBC-SLIMSAS-OCP150</v>
          </cell>
          <cell r="E1725" t="str">
            <v>线缆</v>
          </cell>
          <cell r="F1725">
            <v>2E-3</v>
          </cell>
          <cell r="G1725">
            <v>0</v>
          </cell>
        </row>
        <row r="1726">
          <cell r="B1726" t="str">
            <v>302-004107</v>
          </cell>
          <cell r="C1726" t="str">
            <v>4U8卡-扩展板到国鑫PCIeSwitch板供电线缆,1分2,250mm</v>
          </cell>
          <cell r="D1726" t="str">
            <v>Y017LC030</v>
          </cell>
          <cell r="E1726" t="str">
            <v>线缆</v>
          </cell>
          <cell r="F1726">
            <v>2E-3</v>
          </cell>
          <cell r="G1726">
            <v>0</v>
          </cell>
        </row>
        <row r="1727">
          <cell r="B1727" t="str">
            <v>302-004287</v>
          </cell>
          <cell r="C1727" t="str">
            <v>4U8卡-扩展板到木犀PCIeSwitch板低速线缆,1对1,200mm</v>
          </cell>
          <cell r="D1727" t="str">
            <v>120500001851H</v>
          </cell>
          <cell r="E1727" t="str">
            <v>线缆</v>
          </cell>
          <cell r="F1727">
            <v>2E-3</v>
          </cell>
          <cell r="G1727">
            <v>0</v>
          </cell>
        </row>
        <row r="1728">
          <cell r="B1728" t="str">
            <v>302-004279</v>
          </cell>
          <cell r="C1728" t="str">
            <v>4U8卡-4U8卡机型,自研扩展板,PCBA,V110</v>
          </cell>
          <cell r="D1728" t="str">
            <v>N0OCO4200002S</v>
          </cell>
          <cell r="E1728" t="str">
            <v>其他部件</v>
          </cell>
          <cell r="F1728">
            <v>3.0999999999999999E-3</v>
          </cell>
          <cell r="G1728">
            <v>0</v>
          </cell>
        </row>
        <row r="1729">
          <cell r="B1729" t="str">
            <v>302-004278</v>
          </cell>
          <cell r="C1729" t="str">
            <v>4U8卡-4U8卡机型,自研风扇板,PCBA,V110</v>
          </cell>
          <cell r="D1729" t="str">
            <v>N0OCO4200003S</v>
          </cell>
          <cell r="E1729" t="str">
            <v>其他部件</v>
          </cell>
          <cell r="F1729">
            <v>3.0999999999999999E-3</v>
          </cell>
          <cell r="G1729">
            <v>0</v>
          </cell>
        </row>
        <row r="1730">
          <cell r="B1730" t="str">
            <v>302-004281</v>
          </cell>
          <cell r="C1730" t="str">
            <v>4U8卡-4U8卡机型,自研PCIeSwitch板,PCBA,V110</v>
          </cell>
          <cell r="D1730" t="str">
            <v>N0OCO4200001S</v>
          </cell>
          <cell r="E1730" t="str">
            <v>其他部件</v>
          </cell>
          <cell r="F1730">
            <v>3.0999999999999999E-3</v>
          </cell>
          <cell r="G1730">
            <v>0</v>
          </cell>
        </row>
        <row r="1731">
          <cell r="B1731" t="str">
            <v>302-004280</v>
          </cell>
          <cell r="C1731" t="str">
            <v>4U8卡-4U8卡机型,自研OCP转接板,PCBA,V110</v>
          </cell>
          <cell r="D1731" t="str">
            <v>N0OCO4200004S</v>
          </cell>
          <cell r="E1731" t="str">
            <v>其他部件</v>
          </cell>
          <cell r="F1731">
            <v>3.0999999999999999E-3</v>
          </cell>
          <cell r="G1731">
            <v>0</v>
          </cell>
        </row>
        <row r="1732">
          <cell r="B1732" t="str">
            <v>302-004127</v>
          </cell>
          <cell r="C1732" t="str">
            <v>4U8卡-扩展板到前置硬盘背板低速线缆,盛凌1230-161-E7-3,800mm,引脚1</v>
          </cell>
          <cell r="D1732" t="str">
            <v>EXU-FBP-SIG-0800</v>
          </cell>
          <cell r="E1732" t="str">
            <v>线缆</v>
          </cell>
          <cell r="F1732">
            <v>2E-3</v>
          </cell>
          <cell r="G1732">
            <v>0</v>
          </cell>
        </row>
        <row r="1733">
          <cell r="B1733" t="str">
            <v>302-004123</v>
          </cell>
          <cell r="C1733" t="str">
            <v>4U8卡-扩展板到风扇板低速线缆,盛凌1230-121-E7-3,800mm,引脚1对1</v>
          </cell>
          <cell r="D1733" t="str">
            <v>EXU-FAN-SIG-0800</v>
          </cell>
          <cell r="E1733" t="str">
            <v>线缆</v>
          </cell>
          <cell r="F1733">
            <v>2E-3</v>
          </cell>
          <cell r="G1733">
            <v>0</v>
          </cell>
        </row>
        <row r="1734">
          <cell r="B1734" t="str">
            <v>302-004539</v>
          </cell>
          <cell r="C1734" t="str">
            <v>SSD DTS510S50-7.68T-SATA 6Gb-2.5-读取 DT</v>
          </cell>
          <cell r="D1734" t="str">
            <v>J07T6SBLYJHBCDEDC0</v>
          </cell>
          <cell r="E1734" t="str">
            <v>硬盘</v>
          </cell>
          <cell r="F1734">
            <v>5.4999999999999997E-3</v>
          </cell>
          <cell r="G1734">
            <v>0</v>
          </cell>
        </row>
        <row r="1735">
          <cell r="B1735" t="str">
            <v>304-000701</v>
          </cell>
          <cell r="C1735" t="str">
            <v>典配L6-4U8卡机-包含SW板、扩展板等；</v>
          </cell>
          <cell r="D1735" t="str">
            <v>R624 K2</v>
          </cell>
          <cell r="E1735" t="str">
            <v>L6典配</v>
          </cell>
          <cell r="F1735">
            <v>2.8999999999999998E-3</v>
          </cell>
          <cell r="G1735">
            <v>2</v>
          </cell>
        </row>
        <row r="1736">
          <cell r="B1736" t="str">
            <v>302-004403</v>
          </cell>
          <cell r="C1736" t="str">
            <v>SF96025ST01-ES3521A V7-960GB SATA 6Gb/s-</v>
          </cell>
          <cell r="D1736">
            <v>2551003</v>
          </cell>
          <cell r="E1736" t="str">
            <v>硬盘</v>
          </cell>
          <cell r="F1736">
            <v>5.4999999999999997E-3</v>
          </cell>
          <cell r="G1736">
            <v>0</v>
          </cell>
        </row>
        <row r="1737">
          <cell r="B1737" t="str">
            <v>302-004525</v>
          </cell>
          <cell r="C1737" t="str">
            <v>光模块-SFP28-25G-多模(8.4dBm-2.4dBm--10.3dBm-</v>
          </cell>
          <cell r="D1737" t="str">
            <v>34061254-001-1</v>
          </cell>
          <cell r="E1737" t="str">
            <v>光模块</v>
          </cell>
          <cell r="F1737">
            <v>4.1999999999999997E-3</v>
          </cell>
          <cell r="G1737">
            <v>0</v>
          </cell>
          <cell r="I1737" t="str">
            <v>99-000380</v>
          </cell>
        </row>
        <row r="1738">
          <cell r="B1738" t="str">
            <v>302-004405</v>
          </cell>
          <cell r="C1738" t="str">
            <v>ES3500P V6-3840GB-PCIE 4.0 X4-2.5英寸</v>
          </cell>
          <cell r="D1738">
            <v>2550788</v>
          </cell>
          <cell r="E1738" t="str">
            <v>硬盘</v>
          </cell>
          <cell r="F1738">
            <v>5.4999999999999997E-3</v>
          </cell>
          <cell r="G1738">
            <v>0</v>
          </cell>
        </row>
        <row r="1739">
          <cell r="B1739" t="str">
            <v>302-003963</v>
          </cell>
          <cell r="C1739" t="str">
            <v>S电源线中/欧标-C20直公-C19直母-250V16A-1.5m-交流</v>
          </cell>
          <cell r="D1739" t="str">
            <v>04050422-003</v>
          </cell>
          <cell r="E1739" t="str">
            <v>电源线</v>
          </cell>
          <cell r="F1739">
            <v>2E-3</v>
          </cell>
          <cell r="G1739">
            <v>0</v>
          </cell>
        </row>
        <row r="1740">
          <cell r="B1740" t="str">
            <v>302-004471</v>
          </cell>
          <cell r="C1740" t="str">
            <v>S电源线国标-PI弯公-C19直母-250V16A-3.0m-AC</v>
          </cell>
          <cell r="D1740" t="str">
            <v>04043396</v>
          </cell>
          <cell r="E1740" t="str">
            <v>电源线</v>
          </cell>
          <cell r="F1740">
            <v>2E-3</v>
          </cell>
          <cell r="G1740">
            <v>0</v>
          </cell>
          <cell r="I1740" t="str">
            <v>99-002100</v>
          </cell>
        </row>
        <row r="1741">
          <cell r="B1741" t="str">
            <v>302-004580</v>
          </cell>
          <cell r="C1741" t="str">
            <v>2*16X SLOT(PCIE X8) RISER1</v>
          </cell>
          <cell r="D1741" t="str">
            <v>02314GUD-1</v>
          </cell>
          <cell r="E1741" t="str">
            <v>Riser模组</v>
          </cell>
          <cell r="F1741">
            <v>5.0000000000000001E-3</v>
          </cell>
          <cell r="G1741">
            <v>0</v>
          </cell>
          <cell r="I1741" t="str">
            <v>99-002712</v>
          </cell>
        </row>
        <row r="1742">
          <cell r="B1742" t="str">
            <v>302-004579</v>
          </cell>
          <cell r="C1742" t="str">
            <v>2*16X SLOT (PCIE X8) RISER2</v>
          </cell>
          <cell r="D1742" t="str">
            <v>02314GUE-1</v>
          </cell>
          <cell r="E1742" t="str">
            <v>Riser模组</v>
          </cell>
          <cell r="F1742">
            <v>5.0000000000000001E-3</v>
          </cell>
          <cell r="G1742">
            <v>0</v>
          </cell>
          <cell r="I1742" t="str">
            <v>99-002711</v>
          </cell>
        </row>
        <row r="1743">
          <cell r="B1743" t="str">
            <v>302-004235</v>
          </cell>
          <cell r="C1743" t="str">
            <v>8*9.5 mm DVD刻录光驱 LG-PC光驱</v>
          </cell>
          <cell r="D1743" t="str">
            <v>NA</v>
          </cell>
          <cell r="E1743" t="str">
            <v>光驱</v>
          </cell>
          <cell r="F1743">
            <v>1E-4</v>
          </cell>
          <cell r="G1743">
            <v>4505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各库区库存"/>
      <sheetName val="Sheet1"/>
    </sheetNames>
    <sheetDataSet>
      <sheetData sheetId="0">
        <row r="1">
          <cell r="A1" t="str">
            <v>物料代码</v>
          </cell>
          <cell r="B1" t="str">
            <v>捆绑料号</v>
          </cell>
        </row>
        <row r="2">
          <cell r="A2" t="str">
            <v>301-000013</v>
          </cell>
          <cell r="B2" t="str">
            <v>301-000013</v>
          </cell>
        </row>
        <row r="3">
          <cell r="A3" t="str">
            <v>301-000021</v>
          </cell>
          <cell r="B3" t="str">
            <v>77-000021</v>
          </cell>
        </row>
        <row r="4">
          <cell r="A4" t="str">
            <v>301-000038</v>
          </cell>
          <cell r="B4" t="str">
            <v>301-000038</v>
          </cell>
        </row>
        <row r="5">
          <cell r="A5" t="str">
            <v>302-000000</v>
          </cell>
          <cell r="B5" t="str">
            <v>99-000712</v>
          </cell>
        </row>
        <row r="6">
          <cell r="A6" t="str">
            <v>302-000001</v>
          </cell>
          <cell r="B6" t="str">
            <v>99-000711</v>
          </cell>
        </row>
        <row r="7">
          <cell r="A7" t="str">
            <v>302-000002</v>
          </cell>
          <cell r="B7" t="str">
            <v>99-000665</v>
          </cell>
        </row>
        <row r="8">
          <cell r="A8" t="str">
            <v>302-000004</v>
          </cell>
          <cell r="B8" t="str">
            <v>99-000709</v>
          </cell>
        </row>
        <row r="9">
          <cell r="A9" t="str">
            <v>302-000006</v>
          </cell>
          <cell r="B9" t="str">
            <v>99-000708</v>
          </cell>
        </row>
        <row r="10">
          <cell r="A10" t="str">
            <v>302-000007</v>
          </cell>
          <cell r="B10" t="str">
            <v>99-000707</v>
          </cell>
        </row>
        <row r="11">
          <cell r="A11" t="str">
            <v>302-000027</v>
          </cell>
          <cell r="B11" t="str">
            <v>302-000027</v>
          </cell>
        </row>
        <row r="12">
          <cell r="A12" t="str">
            <v>302-000029</v>
          </cell>
          <cell r="B12" t="str">
            <v>99-000977</v>
          </cell>
        </row>
        <row r="13">
          <cell r="A13" t="str">
            <v>302-000035</v>
          </cell>
          <cell r="B13" t="str">
            <v>99-000035</v>
          </cell>
        </row>
        <row r="14">
          <cell r="A14" t="str">
            <v>302-000037</v>
          </cell>
          <cell r="B14" t="str">
            <v>99-000035</v>
          </cell>
        </row>
        <row r="15">
          <cell r="A15" t="str">
            <v>302-000039</v>
          </cell>
          <cell r="B15" t="str">
            <v>99-002104</v>
          </cell>
        </row>
        <row r="16">
          <cell r="A16" t="str">
            <v>302-000041</v>
          </cell>
          <cell r="B16" t="str">
            <v>99-000750</v>
          </cell>
        </row>
        <row r="17">
          <cell r="A17" t="str">
            <v>302-000043</v>
          </cell>
          <cell r="B17" t="str">
            <v>99-000043</v>
          </cell>
        </row>
        <row r="18">
          <cell r="A18" t="str">
            <v>302-000045</v>
          </cell>
          <cell r="B18" t="str">
            <v>99-001016</v>
          </cell>
        </row>
        <row r="19">
          <cell r="A19" t="str">
            <v>302-000047</v>
          </cell>
          <cell r="B19" t="str">
            <v>99-001400</v>
          </cell>
        </row>
        <row r="20">
          <cell r="A20" t="str">
            <v>302-000051</v>
          </cell>
          <cell r="B20" t="str">
            <v>99-002104</v>
          </cell>
        </row>
        <row r="21">
          <cell r="A21" t="str">
            <v>302-000053</v>
          </cell>
          <cell r="B21" t="str">
            <v>99-000750</v>
          </cell>
        </row>
        <row r="22">
          <cell r="A22" t="str">
            <v>302-000057</v>
          </cell>
          <cell r="B22" t="str">
            <v>99-001016</v>
          </cell>
        </row>
        <row r="23">
          <cell r="A23" t="str">
            <v>302-000063</v>
          </cell>
          <cell r="B23" t="str">
            <v>99-000864</v>
          </cell>
        </row>
        <row r="24">
          <cell r="A24" t="str">
            <v>302-000065</v>
          </cell>
          <cell r="B24" t="str">
            <v>302-000065</v>
          </cell>
        </row>
        <row r="25">
          <cell r="A25" t="str">
            <v>302-000075</v>
          </cell>
          <cell r="B25" t="str">
            <v>99-000662</v>
          </cell>
        </row>
        <row r="26">
          <cell r="A26" t="str">
            <v>302-000079</v>
          </cell>
          <cell r="B26" t="str">
            <v>302-000079</v>
          </cell>
        </row>
        <row r="27">
          <cell r="A27" t="str">
            <v>302-000085</v>
          </cell>
          <cell r="B27" t="str">
            <v>99-000083</v>
          </cell>
        </row>
        <row r="28">
          <cell r="A28" t="str">
            <v>302-000087</v>
          </cell>
          <cell r="B28" t="str">
            <v>99-004341</v>
          </cell>
        </row>
        <row r="29">
          <cell r="A29" t="str">
            <v>302-000091</v>
          </cell>
          <cell r="B29" t="str">
            <v>302-000091</v>
          </cell>
        </row>
        <row r="30">
          <cell r="A30" t="str">
            <v>302-000095</v>
          </cell>
          <cell r="B30" t="str">
            <v>99-000095</v>
          </cell>
        </row>
        <row r="31">
          <cell r="A31" t="str">
            <v>302-000107</v>
          </cell>
          <cell r="B31" t="str">
            <v>99-001049</v>
          </cell>
        </row>
        <row r="32">
          <cell r="A32" t="str">
            <v>302-000109</v>
          </cell>
          <cell r="B32" t="str">
            <v>99-000646</v>
          </cell>
        </row>
        <row r="33">
          <cell r="A33" t="str">
            <v>302-000115</v>
          </cell>
          <cell r="B33" t="str">
            <v>99-001163</v>
          </cell>
        </row>
        <row r="34">
          <cell r="A34" t="str">
            <v>302-000133</v>
          </cell>
          <cell r="B34" t="str">
            <v>99-000133</v>
          </cell>
        </row>
        <row r="35">
          <cell r="A35" t="str">
            <v>302-000134</v>
          </cell>
          <cell r="B35" t="str">
            <v>99-000134</v>
          </cell>
        </row>
        <row r="36">
          <cell r="A36" t="str">
            <v>302-000135</v>
          </cell>
          <cell r="B36" t="str">
            <v>99-000135</v>
          </cell>
        </row>
        <row r="37">
          <cell r="A37" t="str">
            <v>302-000136</v>
          </cell>
          <cell r="B37" t="str">
            <v>99-001066</v>
          </cell>
        </row>
        <row r="38">
          <cell r="A38" t="str">
            <v>302-000137</v>
          </cell>
          <cell r="B38" t="str">
            <v>99-001261</v>
          </cell>
        </row>
        <row r="39">
          <cell r="A39" t="str">
            <v>302-000139</v>
          </cell>
          <cell r="B39" t="str">
            <v>99-000139</v>
          </cell>
        </row>
        <row r="40">
          <cell r="A40" t="str">
            <v>302-000140</v>
          </cell>
          <cell r="B40" t="str">
            <v>99-001655</v>
          </cell>
        </row>
        <row r="41">
          <cell r="A41" t="str">
            <v>302-000141</v>
          </cell>
          <cell r="B41" t="str">
            <v>99-001036</v>
          </cell>
        </row>
        <row r="42">
          <cell r="A42" t="str">
            <v>302-000142</v>
          </cell>
          <cell r="B42" t="str">
            <v>99-000142</v>
          </cell>
        </row>
        <row r="43">
          <cell r="A43" t="str">
            <v>302-000143</v>
          </cell>
          <cell r="B43" t="str">
            <v>99-000143</v>
          </cell>
        </row>
        <row r="44">
          <cell r="A44" t="str">
            <v>302-000144</v>
          </cell>
          <cell r="B44" t="str">
            <v>99-000144</v>
          </cell>
        </row>
        <row r="45">
          <cell r="A45" t="str">
            <v>302-000145</v>
          </cell>
          <cell r="B45" t="str">
            <v>302-000145</v>
          </cell>
        </row>
        <row r="46">
          <cell r="A46" t="str">
            <v>302-000146</v>
          </cell>
          <cell r="B46" t="str">
            <v>99-000146</v>
          </cell>
        </row>
        <row r="47">
          <cell r="A47" t="str">
            <v>302-000147</v>
          </cell>
          <cell r="B47" t="str">
            <v>99-000147</v>
          </cell>
        </row>
        <row r="48">
          <cell r="A48" t="str">
            <v>302-000148</v>
          </cell>
          <cell r="B48" t="str">
            <v>99-000148</v>
          </cell>
        </row>
        <row r="49">
          <cell r="A49" t="str">
            <v>302-000149</v>
          </cell>
          <cell r="B49" t="str">
            <v>99-000149</v>
          </cell>
        </row>
        <row r="50">
          <cell r="A50" t="str">
            <v>302-000150</v>
          </cell>
          <cell r="B50" t="str">
            <v>99-000150</v>
          </cell>
        </row>
        <row r="51">
          <cell r="A51" t="str">
            <v>302-000151</v>
          </cell>
          <cell r="B51" t="str">
            <v>99-000151</v>
          </cell>
        </row>
        <row r="52">
          <cell r="A52" t="str">
            <v>302-000153</v>
          </cell>
          <cell r="B52" t="str">
            <v>302-000153</v>
          </cell>
        </row>
        <row r="53">
          <cell r="A53" t="str">
            <v>302-000154</v>
          </cell>
          <cell r="B53" t="str">
            <v>302-000154</v>
          </cell>
        </row>
        <row r="54">
          <cell r="A54" t="str">
            <v>302-000157</v>
          </cell>
          <cell r="B54" t="str">
            <v>99-000157</v>
          </cell>
        </row>
        <row r="55">
          <cell r="A55" t="str">
            <v>302-000158</v>
          </cell>
          <cell r="B55" t="str">
            <v>99-000739</v>
          </cell>
        </row>
        <row r="56">
          <cell r="A56" t="str">
            <v>302-000159</v>
          </cell>
          <cell r="B56" t="str">
            <v>302-000159</v>
          </cell>
        </row>
        <row r="57">
          <cell r="A57" t="str">
            <v>302-000160</v>
          </cell>
          <cell r="B57" t="str">
            <v>99-000160</v>
          </cell>
        </row>
        <row r="58">
          <cell r="A58" t="str">
            <v>302-000161</v>
          </cell>
          <cell r="B58" t="str">
            <v>99-000739</v>
          </cell>
        </row>
        <row r="59">
          <cell r="A59" t="str">
            <v>302-000166</v>
          </cell>
          <cell r="B59" t="str">
            <v>302-000166</v>
          </cell>
        </row>
        <row r="60">
          <cell r="A60" t="str">
            <v>302-000167</v>
          </cell>
          <cell r="B60" t="str">
            <v>302-000167</v>
          </cell>
        </row>
        <row r="61">
          <cell r="A61" t="str">
            <v>302-000168</v>
          </cell>
          <cell r="B61" t="str">
            <v>99-000171</v>
          </cell>
        </row>
        <row r="62">
          <cell r="A62" t="str">
            <v>302-000170</v>
          </cell>
          <cell r="B62" t="str">
            <v>302-000170</v>
          </cell>
        </row>
        <row r="63">
          <cell r="A63" t="str">
            <v>302-000171</v>
          </cell>
          <cell r="B63" t="str">
            <v>99-000171</v>
          </cell>
        </row>
        <row r="64">
          <cell r="A64" t="str">
            <v>302-000174</v>
          </cell>
          <cell r="B64" t="str">
            <v>99-000381</v>
          </cell>
        </row>
        <row r="65">
          <cell r="A65" t="str">
            <v>302-000175</v>
          </cell>
          <cell r="B65" t="str">
            <v>99-000175</v>
          </cell>
        </row>
        <row r="66">
          <cell r="A66" t="str">
            <v>302-000176</v>
          </cell>
          <cell r="B66" t="str">
            <v>99-000380</v>
          </cell>
        </row>
        <row r="67">
          <cell r="A67" t="str">
            <v>302-000178</v>
          </cell>
          <cell r="B67" t="str">
            <v>99-003338</v>
          </cell>
        </row>
        <row r="68">
          <cell r="A68" t="str">
            <v>302-000179</v>
          </cell>
          <cell r="B68" t="str">
            <v>99-000179</v>
          </cell>
        </row>
        <row r="69">
          <cell r="A69" t="str">
            <v>302-000183</v>
          </cell>
          <cell r="B69" t="str">
            <v>99-000448</v>
          </cell>
        </row>
        <row r="70">
          <cell r="A70" t="str">
            <v>302-000184</v>
          </cell>
          <cell r="B70" t="str">
            <v>99-000184</v>
          </cell>
        </row>
        <row r="71">
          <cell r="A71" t="str">
            <v>302-000193</v>
          </cell>
          <cell r="B71" t="str">
            <v>302-000193</v>
          </cell>
        </row>
        <row r="72">
          <cell r="A72" t="str">
            <v>302-000211</v>
          </cell>
          <cell r="B72" t="str">
            <v>99-000211</v>
          </cell>
        </row>
        <row r="73">
          <cell r="A73" t="str">
            <v>302-000224</v>
          </cell>
          <cell r="B73" t="str">
            <v>302-000224</v>
          </cell>
        </row>
        <row r="74">
          <cell r="A74" t="str">
            <v>302-000230</v>
          </cell>
          <cell r="B74" t="str">
            <v>99-000043</v>
          </cell>
        </row>
        <row r="75">
          <cell r="A75" t="str">
            <v>302-000242</v>
          </cell>
          <cell r="B75" t="str">
            <v>302-000242</v>
          </cell>
        </row>
        <row r="76">
          <cell r="A76" t="str">
            <v>302-000247</v>
          </cell>
          <cell r="B76" t="str">
            <v>99-000247</v>
          </cell>
        </row>
        <row r="77">
          <cell r="A77" t="str">
            <v>302-000248</v>
          </cell>
          <cell r="B77" t="str">
            <v>99-000248</v>
          </cell>
        </row>
        <row r="78">
          <cell r="A78" t="str">
            <v>302-000249</v>
          </cell>
          <cell r="B78" t="str">
            <v>302-000249</v>
          </cell>
        </row>
        <row r="79">
          <cell r="A79" t="str">
            <v>302-000250</v>
          </cell>
          <cell r="B79" t="str">
            <v>302-000250</v>
          </cell>
        </row>
        <row r="80">
          <cell r="A80" t="str">
            <v>302-000251</v>
          </cell>
          <cell r="B80" t="str">
            <v>99-000251</v>
          </cell>
        </row>
        <row r="81">
          <cell r="A81" t="str">
            <v>302-000252</v>
          </cell>
          <cell r="B81" t="str">
            <v>302-000252</v>
          </cell>
        </row>
        <row r="82">
          <cell r="A82" t="str">
            <v>302-000253</v>
          </cell>
          <cell r="B82" t="str">
            <v>99-000253</v>
          </cell>
        </row>
        <row r="83">
          <cell r="A83" t="str">
            <v>302-000254</v>
          </cell>
          <cell r="B83" t="str">
            <v>302-000254</v>
          </cell>
        </row>
        <row r="84">
          <cell r="A84" t="str">
            <v>302-000255</v>
          </cell>
          <cell r="B84" t="str">
            <v>302-000255</v>
          </cell>
        </row>
        <row r="85">
          <cell r="A85" t="str">
            <v>302-000256</v>
          </cell>
          <cell r="B85" t="str">
            <v>302-000256</v>
          </cell>
        </row>
        <row r="86">
          <cell r="A86" t="str">
            <v>302-000257</v>
          </cell>
          <cell r="B86" t="str">
            <v>302-000257</v>
          </cell>
        </row>
        <row r="87">
          <cell r="A87" t="str">
            <v>302-000258</v>
          </cell>
          <cell r="B87" t="str">
            <v>302-000258</v>
          </cell>
        </row>
        <row r="88">
          <cell r="A88" t="str">
            <v>302-000259</v>
          </cell>
          <cell r="B88" t="str">
            <v>99-000259</v>
          </cell>
        </row>
        <row r="89">
          <cell r="A89" t="str">
            <v>302-000260</v>
          </cell>
          <cell r="B89" t="str">
            <v>302-000260</v>
          </cell>
        </row>
        <row r="90">
          <cell r="A90" t="str">
            <v>302-000261</v>
          </cell>
          <cell r="B90" t="str">
            <v>99-002658</v>
          </cell>
        </row>
        <row r="91">
          <cell r="A91" t="str">
            <v>302-000263</v>
          </cell>
          <cell r="B91" t="str">
            <v>99-001043</v>
          </cell>
        </row>
        <row r="92">
          <cell r="A92" t="str">
            <v>302-000286</v>
          </cell>
          <cell r="B92" t="str">
            <v>99-000434</v>
          </cell>
        </row>
        <row r="93">
          <cell r="A93" t="str">
            <v>302-000287</v>
          </cell>
          <cell r="B93" t="str">
            <v>99-000434</v>
          </cell>
        </row>
        <row r="94">
          <cell r="A94" t="str">
            <v>302-000288</v>
          </cell>
          <cell r="B94" t="str">
            <v>88-000288</v>
          </cell>
        </row>
        <row r="95">
          <cell r="A95" t="str">
            <v>302-000289</v>
          </cell>
          <cell r="B95" t="str">
            <v>88-000289</v>
          </cell>
        </row>
        <row r="96">
          <cell r="A96" t="str">
            <v>302-000290</v>
          </cell>
          <cell r="B96" t="str">
            <v>88-000290</v>
          </cell>
        </row>
        <row r="97">
          <cell r="A97" t="str">
            <v>302-000291</v>
          </cell>
          <cell r="B97" t="str">
            <v>99-000147</v>
          </cell>
        </row>
        <row r="98">
          <cell r="A98" t="str">
            <v>302-000292</v>
          </cell>
          <cell r="B98" t="str">
            <v>99-001770</v>
          </cell>
        </row>
        <row r="99">
          <cell r="A99" t="str">
            <v>302-000293</v>
          </cell>
          <cell r="B99" t="str">
            <v>302-000293</v>
          </cell>
        </row>
        <row r="100">
          <cell r="A100" t="str">
            <v>302-000296</v>
          </cell>
          <cell r="B100" t="str">
            <v>88-000296</v>
          </cell>
        </row>
        <row r="101">
          <cell r="A101" t="str">
            <v>302-000297</v>
          </cell>
          <cell r="B101" t="str">
            <v>99-000297</v>
          </cell>
        </row>
        <row r="102">
          <cell r="A102" t="str">
            <v>302-000298</v>
          </cell>
          <cell r="B102" t="str">
            <v>302-000298</v>
          </cell>
        </row>
        <row r="103">
          <cell r="A103" t="str">
            <v>302-000300</v>
          </cell>
          <cell r="B103" t="str">
            <v>99-000149</v>
          </cell>
        </row>
        <row r="104">
          <cell r="A104" t="str">
            <v>302-000301</v>
          </cell>
          <cell r="B104" t="str">
            <v>302-000301</v>
          </cell>
        </row>
        <row r="105">
          <cell r="A105" t="str">
            <v>302-000305</v>
          </cell>
          <cell r="B105" t="str">
            <v>302-000305</v>
          </cell>
        </row>
        <row r="106">
          <cell r="A106" t="str">
            <v>302-000306</v>
          </cell>
          <cell r="B106" t="str">
            <v>302-000306</v>
          </cell>
        </row>
        <row r="107">
          <cell r="A107" t="str">
            <v>302-000307</v>
          </cell>
          <cell r="B107" t="str">
            <v>302-000307</v>
          </cell>
        </row>
        <row r="108">
          <cell r="A108" t="str">
            <v>302-000308</v>
          </cell>
          <cell r="B108" t="str">
            <v>302-000308</v>
          </cell>
        </row>
        <row r="109">
          <cell r="A109" t="str">
            <v>302-000309</v>
          </cell>
          <cell r="B109" t="str">
            <v>302-000309</v>
          </cell>
        </row>
        <row r="110">
          <cell r="A110" t="str">
            <v>302-000310</v>
          </cell>
          <cell r="B110" t="str">
            <v>99-003068</v>
          </cell>
        </row>
        <row r="111">
          <cell r="A111" t="str">
            <v>302-000311</v>
          </cell>
          <cell r="B111" t="str">
            <v>99-000311</v>
          </cell>
        </row>
        <row r="112">
          <cell r="A112" t="str">
            <v>302-000325</v>
          </cell>
          <cell r="B112" t="str">
            <v>99-000134</v>
          </cell>
        </row>
        <row r="113">
          <cell r="A113" t="str">
            <v>302-000327</v>
          </cell>
          <cell r="B113" t="str">
            <v>302-000327</v>
          </cell>
        </row>
        <row r="114">
          <cell r="A114" t="str">
            <v>302-000328</v>
          </cell>
          <cell r="B114" t="str">
            <v>99-000247</v>
          </cell>
        </row>
        <row r="115">
          <cell r="A115" t="str">
            <v>302-000329</v>
          </cell>
          <cell r="B115" t="str">
            <v>99-000333</v>
          </cell>
        </row>
        <row r="116">
          <cell r="A116" t="str">
            <v>302-000333</v>
          </cell>
          <cell r="B116" t="str">
            <v>99-000333</v>
          </cell>
        </row>
        <row r="117">
          <cell r="A117" t="str">
            <v>302-000343</v>
          </cell>
          <cell r="B117" t="str">
            <v>99-001156</v>
          </cell>
        </row>
        <row r="118">
          <cell r="A118" t="str">
            <v>302-000345</v>
          </cell>
          <cell r="B118" t="str">
            <v>302-000345</v>
          </cell>
        </row>
        <row r="119">
          <cell r="A119" t="str">
            <v>302-000346</v>
          </cell>
          <cell r="B119" t="str">
            <v>99-000346</v>
          </cell>
        </row>
        <row r="120">
          <cell r="A120" t="str">
            <v>302-000348</v>
          </cell>
          <cell r="B120" t="str">
            <v>99-001003</v>
          </cell>
        </row>
        <row r="121">
          <cell r="A121" t="str">
            <v>302-000349</v>
          </cell>
          <cell r="B121" t="str">
            <v>99-000704</v>
          </cell>
        </row>
        <row r="122">
          <cell r="A122" t="str">
            <v>302-000352</v>
          </cell>
          <cell r="B122" t="str">
            <v>99-000710</v>
          </cell>
        </row>
        <row r="123">
          <cell r="A123" t="str">
            <v>302-000353</v>
          </cell>
          <cell r="B123" t="str">
            <v>99-000711</v>
          </cell>
        </row>
        <row r="124">
          <cell r="A124" t="str">
            <v>302-000354</v>
          </cell>
          <cell r="B124" t="str">
            <v>99-000712</v>
          </cell>
        </row>
        <row r="125">
          <cell r="A125" t="str">
            <v>302-000369</v>
          </cell>
          <cell r="B125" t="str">
            <v>99-000151</v>
          </cell>
        </row>
        <row r="126">
          <cell r="A126" t="str">
            <v>302-000370</v>
          </cell>
          <cell r="B126" t="str">
            <v>302-000370</v>
          </cell>
        </row>
        <row r="127">
          <cell r="A127" t="str">
            <v>302-000371</v>
          </cell>
          <cell r="B127" t="str">
            <v>99-000706</v>
          </cell>
        </row>
        <row r="128">
          <cell r="A128" t="str">
            <v>302-000373</v>
          </cell>
          <cell r="B128" t="str">
            <v>302-000373</v>
          </cell>
        </row>
        <row r="129">
          <cell r="A129" t="str">
            <v>302-000375</v>
          </cell>
          <cell r="B129" t="str">
            <v>99-000375</v>
          </cell>
        </row>
        <row r="130">
          <cell r="A130" t="str">
            <v>302-000376</v>
          </cell>
          <cell r="B130" t="str">
            <v>302-000376</v>
          </cell>
        </row>
        <row r="131">
          <cell r="A131" t="str">
            <v>302-000378</v>
          </cell>
          <cell r="B131" t="str">
            <v>99-000175</v>
          </cell>
        </row>
        <row r="132">
          <cell r="A132" t="str">
            <v>302-000380</v>
          </cell>
          <cell r="B132" t="str">
            <v>99-000380</v>
          </cell>
        </row>
        <row r="133">
          <cell r="A133" t="str">
            <v>302-000381</v>
          </cell>
          <cell r="B133" t="str">
            <v>99-000381</v>
          </cell>
        </row>
        <row r="134">
          <cell r="A134" t="str">
            <v>302-000387</v>
          </cell>
          <cell r="B134" t="str">
            <v>99-000397</v>
          </cell>
        </row>
        <row r="135">
          <cell r="A135" t="str">
            <v>302-000396</v>
          </cell>
          <cell r="B135" t="str">
            <v>302-000396</v>
          </cell>
        </row>
        <row r="136">
          <cell r="A136" t="str">
            <v>302-000397</v>
          </cell>
          <cell r="B136" t="str">
            <v>99-000397</v>
          </cell>
        </row>
        <row r="137">
          <cell r="A137" t="str">
            <v>302-000400</v>
          </cell>
          <cell r="B137" t="str">
            <v>99-000379</v>
          </cell>
        </row>
        <row r="138">
          <cell r="A138" t="str">
            <v>302-000412</v>
          </cell>
          <cell r="B138" t="str">
            <v>99-000412</v>
          </cell>
        </row>
        <row r="139">
          <cell r="A139" t="str">
            <v>302-000413</v>
          </cell>
          <cell r="B139" t="str">
            <v>99-000413</v>
          </cell>
        </row>
        <row r="140">
          <cell r="A140" t="str">
            <v>302-000417</v>
          </cell>
          <cell r="B140" t="str">
            <v>99-000417</v>
          </cell>
        </row>
        <row r="141">
          <cell r="A141" t="str">
            <v>302-000419</v>
          </cell>
          <cell r="B141" t="str">
            <v>99-000419</v>
          </cell>
        </row>
        <row r="142">
          <cell r="A142" t="str">
            <v>302-000424</v>
          </cell>
          <cell r="B142" t="str">
            <v>302-000424</v>
          </cell>
        </row>
        <row r="143">
          <cell r="A143" t="str">
            <v>302-000426</v>
          </cell>
          <cell r="B143" t="str">
            <v>99-000426</v>
          </cell>
        </row>
        <row r="144">
          <cell r="A144" t="str">
            <v>302-000434</v>
          </cell>
          <cell r="B144" t="str">
            <v>99-000434</v>
          </cell>
        </row>
        <row r="145">
          <cell r="A145" t="str">
            <v>302-000443</v>
          </cell>
          <cell r="B145" t="str">
            <v>99-001015</v>
          </cell>
        </row>
        <row r="146">
          <cell r="A146" t="str">
            <v>302-000444</v>
          </cell>
          <cell r="B146" t="str">
            <v>99-000899</v>
          </cell>
        </row>
        <row r="147">
          <cell r="A147" t="str">
            <v>302-000446</v>
          </cell>
          <cell r="B147" t="str">
            <v>99-000446</v>
          </cell>
        </row>
        <row r="148">
          <cell r="A148" t="str">
            <v>302-000447</v>
          </cell>
          <cell r="B148" t="str">
            <v>99-000447</v>
          </cell>
        </row>
        <row r="149">
          <cell r="A149" t="str">
            <v>302-000448</v>
          </cell>
          <cell r="B149" t="str">
            <v>99-000448</v>
          </cell>
        </row>
        <row r="150">
          <cell r="A150" t="str">
            <v>302-000463</v>
          </cell>
          <cell r="B150" t="str">
            <v>99-000148</v>
          </cell>
        </row>
        <row r="151">
          <cell r="A151" t="str">
            <v>302-000464</v>
          </cell>
          <cell r="B151" t="str">
            <v>99-000147</v>
          </cell>
        </row>
        <row r="152">
          <cell r="A152" t="str">
            <v>302-000470</v>
          </cell>
          <cell r="B152" t="str">
            <v>302-000470</v>
          </cell>
        </row>
        <row r="153">
          <cell r="A153" t="str">
            <v>302-000471</v>
          </cell>
          <cell r="B153" t="str">
            <v>302-000471</v>
          </cell>
        </row>
        <row r="154">
          <cell r="A154" t="str">
            <v>302-000475</v>
          </cell>
          <cell r="B154" t="str">
            <v>99-003471</v>
          </cell>
        </row>
        <row r="155">
          <cell r="A155" t="str">
            <v>302-000478</v>
          </cell>
          <cell r="B155" t="str">
            <v>302-000478</v>
          </cell>
        </row>
        <row r="156">
          <cell r="A156" t="str">
            <v>302-000490</v>
          </cell>
          <cell r="B156" t="str">
            <v>302-000490</v>
          </cell>
        </row>
        <row r="157">
          <cell r="A157" t="str">
            <v>302-000491</v>
          </cell>
          <cell r="B157" t="str">
            <v>99-000491</v>
          </cell>
        </row>
        <row r="158">
          <cell r="A158" t="str">
            <v>302-000493</v>
          </cell>
          <cell r="B158" t="str">
            <v>88-000493</v>
          </cell>
        </row>
        <row r="159">
          <cell r="A159" t="str">
            <v>302-000494</v>
          </cell>
          <cell r="B159" t="str">
            <v>88-000296</v>
          </cell>
        </row>
        <row r="160">
          <cell r="A160" t="str">
            <v>302-000495</v>
          </cell>
          <cell r="B160" t="str">
            <v>88-000495</v>
          </cell>
        </row>
        <row r="161">
          <cell r="A161" t="str">
            <v>302-000506</v>
          </cell>
          <cell r="B161" t="str">
            <v>99-000707</v>
          </cell>
        </row>
        <row r="162">
          <cell r="A162" t="str">
            <v>302-000507</v>
          </cell>
          <cell r="B162" t="str">
            <v>99-000708</v>
          </cell>
        </row>
        <row r="163">
          <cell r="A163" t="str">
            <v>302-000511</v>
          </cell>
          <cell r="B163" t="str">
            <v>302-000511</v>
          </cell>
        </row>
        <row r="164">
          <cell r="A164" t="str">
            <v>302-000515</v>
          </cell>
          <cell r="B164" t="str">
            <v>302-000515</v>
          </cell>
        </row>
        <row r="165">
          <cell r="A165" t="str">
            <v>302-000518</v>
          </cell>
          <cell r="B165" t="str">
            <v>99-000786</v>
          </cell>
        </row>
        <row r="166">
          <cell r="A166" t="str">
            <v>302-000519</v>
          </cell>
          <cell r="B166" t="str">
            <v>99-001770</v>
          </cell>
        </row>
        <row r="167">
          <cell r="A167" t="str">
            <v>302-000523</v>
          </cell>
          <cell r="B167" t="str">
            <v>99-001183</v>
          </cell>
        </row>
        <row r="168">
          <cell r="A168" t="str">
            <v>302-000530</v>
          </cell>
          <cell r="B168" t="str">
            <v>99-000147</v>
          </cell>
        </row>
        <row r="169">
          <cell r="A169" t="str">
            <v>302-000536</v>
          </cell>
          <cell r="B169" t="str">
            <v>99-000536</v>
          </cell>
        </row>
        <row r="170">
          <cell r="A170" t="str">
            <v>302-000537</v>
          </cell>
          <cell r="B170" t="str">
            <v>99-001078</v>
          </cell>
        </row>
        <row r="171">
          <cell r="A171" t="str">
            <v>302-000542</v>
          </cell>
          <cell r="B171" t="str">
            <v>99-000542</v>
          </cell>
        </row>
        <row r="172">
          <cell r="A172" t="str">
            <v>302-000543</v>
          </cell>
          <cell r="B172" t="str">
            <v>99-000793</v>
          </cell>
        </row>
        <row r="173">
          <cell r="A173" t="str">
            <v>302-000544</v>
          </cell>
          <cell r="B173" t="str">
            <v>99-001067</v>
          </cell>
        </row>
        <row r="174">
          <cell r="A174" t="str">
            <v>302-000545</v>
          </cell>
          <cell r="B174" t="str">
            <v>99-000896</v>
          </cell>
        </row>
        <row r="175">
          <cell r="A175" t="str">
            <v>302-000553</v>
          </cell>
          <cell r="B175" t="str">
            <v>99-000553</v>
          </cell>
        </row>
        <row r="176">
          <cell r="A176" t="str">
            <v>302-000556</v>
          </cell>
          <cell r="B176" t="str">
            <v>99-000961</v>
          </cell>
        </row>
        <row r="177">
          <cell r="A177" t="str">
            <v>302-000558</v>
          </cell>
          <cell r="B177" t="str">
            <v>99-000977</v>
          </cell>
        </row>
        <row r="178">
          <cell r="A178" t="str">
            <v>302-000565</v>
          </cell>
          <cell r="B178" t="str">
            <v>99-001049</v>
          </cell>
        </row>
        <row r="179">
          <cell r="A179" t="str">
            <v>302-000568</v>
          </cell>
          <cell r="B179" t="str">
            <v>99-001049</v>
          </cell>
        </row>
        <row r="180">
          <cell r="A180" t="str">
            <v>302-000569</v>
          </cell>
          <cell r="B180" t="str">
            <v>302-000569</v>
          </cell>
        </row>
        <row r="181">
          <cell r="A181" t="str">
            <v>302-000574</v>
          </cell>
          <cell r="B181" t="str">
            <v>99-001014</v>
          </cell>
        </row>
        <row r="182">
          <cell r="A182" t="str">
            <v>302-000577</v>
          </cell>
          <cell r="B182" t="str">
            <v>99-001163</v>
          </cell>
        </row>
        <row r="183">
          <cell r="A183" t="str">
            <v>302-000584</v>
          </cell>
          <cell r="B183" t="str">
            <v>99-001042</v>
          </cell>
        </row>
        <row r="184">
          <cell r="A184" t="str">
            <v>302-000587</v>
          </cell>
          <cell r="B184" t="str">
            <v>99-001043</v>
          </cell>
        </row>
        <row r="185">
          <cell r="A185" t="str">
            <v>302-000589</v>
          </cell>
          <cell r="B185" t="str">
            <v>99-001043</v>
          </cell>
        </row>
        <row r="186">
          <cell r="A186" t="str">
            <v>302-000591</v>
          </cell>
          <cell r="B186" t="str">
            <v>99-001042</v>
          </cell>
        </row>
        <row r="187">
          <cell r="A187" t="str">
            <v>302-000592</v>
          </cell>
          <cell r="B187" t="str">
            <v>99-001043</v>
          </cell>
        </row>
        <row r="188">
          <cell r="A188" t="str">
            <v>302-000594</v>
          </cell>
          <cell r="B188" t="str">
            <v>99-001043</v>
          </cell>
        </row>
        <row r="189">
          <cell r="A189" t="str">
            <v>302-000597</v>
          </cell>
          <cell r="B189" t="str">
            <v>99-000781</v>
          </cell>
        </row>
        <row r="190">
          <cell r="A190" t="str">
            <v>302-000602</v>
          </cell>
          <cell r="B190" t="str">
            <v>99-000781</v>
          </cell>
        </row>
        <row r="191">
          <cell r="A191" t="str">
            <v>302-000605</v>
          </cell>
          <cell r="B191" t="str">
            <v>99-000781</v>
          </cell>
        </row>
        <row r="192">
          <cell r="A192" t="str">
            <v>302-000606</v>
          </cell>
          <cell r="B192" t="str">
            <v>99-000781</v>
          </cell>
        </row>
        <row r="193">
          <cell r="A193" t="str">
            <v>302-000611</v>
          </cell>
          <cell r="B193" t="str">
            <v>99-001039</v>
          </cell>
        </row>
        <row r="194">
          <cell r="A194" t="str">
            <v>302-000612</v>
          </cell>
          <cell r="B194" t="str">
            <v>99-001039</v>
          </cell>
        </row>
        <row r="195">
          <cell r="A195" t="str">
            <v>302-000618</v>
          </cell>
          <cell r="B195" t="str">
            <v>99-001039</v>
          </cell>
        </row>
        <row r="196">
          <cell r="A196" t="str">
            <v>302-000619</v>
          </cell>
          <cell r="B196" t="str">
            <v>99-001039</v>
          </cell>
        </row>
        <row r="197">
          <cell r="A197" t="str">
            <v>302-000625</v>
          </cell>
          <cell r="B197" t="str">
            <v>99-001040</v>
          </cell>
        </row>
        <row r="198">
          <cell r="A198" t="str">
            <v>302-000631</v>
          </cell>
          <cell r="B198" t="str">
            <v>99-001040</v>
          </cell>
        </row>
        <row r="199">
          <cell r="A199" t="str">
            <v>302-000636</v>
          </cell>
          <cell r="B199" t="str">
            <v>99-001041</v>
          </cell>
        </row>
        <row r="200">
          <cell r="A200" t="str">
            <v>302-000637</v>
          </cell>
          <cell r="B200" t="str">
            <v>99-001041</v>
          </cell>
        </row>
        <row r="201">
          <cell r="A201" t="str">
            <v>302-000642</v>
          </cell>
          <cell r="B201" t="str">
            <v>99-001041</v>
          </cell>
        </row>
        <row r="202">
          <cell r="A202" t="str">
            <v>302-000643</v>
          </cell>
          <cell r="B202" t="str">
            <v>99-001041</v>
          </cell>
        </row>
        <row r="203">
          <cell r="A203" t="str">
            <v>302-000646</v>
          </cell>
          <cell r="B203" t="str">
            <v>99-000646</v>
          </cell>
        </row>
        <row r="204">
          <cell r="A204" t="str">
            <v>302-000647</v>
          </cell>
          <cell r="B204" t="str">
            <v>99-000646</v>
          </cell>
        </row>
        <row r="205">
          <cell r="A205" t="str">
            <v>302-000654</v>
          </cell>
          <cell r="B205" t="str">
            <v>302-000654</v>
          </cell>
        </row>
        <row r="206">
          <cell r="A206" t="str">
            <v>302-000659</v>
          </cell>
          <cell r="B206" t="str">
            <v>99-001019</v>
          </cell>
        </row>
        <row r="207">
          <cell r="A207" t="str">
            <v>302-000660</v>
          </cell>
          <cell r="B207" t="str">
            <v>99-001102</v>
          </cell>
        </row>
        <row r="208">
          <cell r="A208" t="str">
            <v>302-000661</v>
          </cell>
          <cell r="B208" t="str">
            <v>99-000703</v>
          </cell>
        </row>
        <row r="209">
          <cell r="A209" t="str">
            <v>302-000662</v>
          </cell>
          <cell r="B209" t="str">
            <v>99-000662</v>
          </cell>
        </row>
        <row r="210">
          <cell r="A210" t="str">
            <v>302-000665</v>
          </cell>
          <cell r="B210" t="str">
            <v>99-000665</v>
          </cell>
        </row>
        <row r="211">
          <cell r="A211" t="str">
            <v>302-000673</v>
          </cell>
          <cell r="B211" t="str">
            <v>99-001013</v>
          </cell>
        </row>
        <row r="212">
          <cell r="A212" t="str">
            <v>302-000677</v>
          </cell>
          <cell r="B212" t="str">
            <v>302-000677</v>
          </cell>
        </row>
        <row r="213">
          <cell r="A213" t="str">
            <v>302-000680</v>
          </cell>
          <cell r="B213" t="str">
            <v>302-000680</v>
          </cell>
        </row>
        <row r="214">
          <cell r="A214" t="str">
            <v>302-000681</v>
          </cell>
          <cell r="B214" t="str">
            <v>302-000681</v>
          </cell>
        </row>
        <row r="215">
          <cell r="A215" t="str">
            <v>302-000683</v>
          </cell>
          <cell r="B215" t="str">
            <v>302-000683</v>
          </cell>
        </row>
        <row r="216">
          <cell r="A216" t="str">
            <v>302-000685</v>
          </cell>
          <cell r="B216" t="str">
            <v>302-000685</v>
          </cell>
        </row>
        <row r="217">
          <cell r="A217" t="str">
            <v>302-000686</v>
          </cell>
          <cell r="B217" t="str">
            <v>99-000686</v>
          </cell>
        </row>
        <row r="218">
          <cell r="A218" t="str">
            <v>302-000687</v>
          </cell>
          <cell r="B218" t="str">
            <v>99-000687</v>
          </cell>
        </row>
        <row r="219">
          <cell r="A219" t="str">
            <v>302-000689</v>
          </cell>
          <cell r="B219" t="str">
            <v>302-000689</v>
          </cell>
        </row>
        <row r="220">
          <cell r="A220" t="str">
            <v>302-000694</v>
          </cell>
          <cell r="B220" t="str">
            <v>99-001310</v>
          </cell>
        </row>
        <row r="221">
          <cell r="A221" t="str">
            <v>302-000696</v>
          </cell>
          <cell r="B221" t="str">
            <v>302-000696</v>
          </cell>
        </row>
        <row r="222">
          <cell r="A222" t="str">
            <v>302-000698</v>
          </cell>
          <cell r="B222" t="str">
            <v>302-000698</v>
          </cell>
        </row>
        <row r="223">
          <cell r="A223" t="str">
            <v>302-000704</v>
          </cell>
          <cell r="B223" t="str">
            <v>99-000704</v>
          </cell>
        </row>
        <row r="224">
          <cell r="A224" t="str">
            <v>302-000706</v>
          </cell>
          <cell r="B224" t="str">
            <v>99-000706</v>
          </cell>
        </row>
        <row r="225">
          <cell r="A225" t="str">
            <v>302-000707</v>
          </cell>
          <cell r="B225" t="str">
            <v>99-000707</v>
          </cell>
        </row>
        <row r="226">
          <cell r="A226" t="str">
            <v>302-000708</v>
          </cell>
          <cell r="B226" t="str">
            <v>99-000708</v>
          </cell>
        </row>
        <row r="227">
          <cell r="A227" t="str">
            <v>302-000711</v>
          </cell>
          <cell r="B227" t="str">
            <v>99-000711</v>
          </cell>
        </row>
        <row r="228">
          <cell r="A228" t="str">
            <v>302-000712</v>
          </cell>
          <cell r="B228" t="str">
            <v>99-000712</v>
          </cell>
        </row>
        <row r="229">
          <cell r="A229" t="str">
            <v>302-000716</v>
          </cell>
          <cell r="B229" t="str">
            <v>99-000491</v>
          </cell>
        </row>
        <row r="230">
          <cell r="A230" t="str">
            <v>302-000717</v>
          </cell>
          <cell r="B230" t="str">
            <v>99-000717</v>
          </cell>
        </row>
        <row r="231">
          <cell r="A231" t="str">
            <v>302-000719</v>
          </cell>
          <cell r="B231" t="str">
            <v>88-002660</v>
          </cell>
        </row>
        <row r="232">
          <cell r="A232" t="str">
            <v>302-000726</v>
          </cell>
          <cell r="B232" t="str">
            <v>302-000726</v>
          </cell>
        </row>
        <row r="233">
          <cell r="A233" t="str">
            <v>302-000727</v>
          </cell>
          <cell r="B233" t="str">
            <v>302-000727</v>
          </cell>
        </row>
        <row r="234">
          <cell r="A234" t="str">
            <v>302-000729</v>
          </cell>
          <cell r="B234" t="str">
            <v>302-000729</v>
          </cell>
        </row>
        <row r="235">
          <cell r="A235" t="str">
            <v>302-000730</v>
          </cell>
          <cell r="B235" t="str">
            <v>302-000730</v>
          </cell>
        </row>
        <row r="236">
          <cell r="A236" t="str">
            <v>302-000731</v>
          </cell>
          <cell r="B236" t="str">
            <v>302-000731</v>
          </cell>
        </row>
        <row r="237">
          <cell r="A237" t="str">
            <v>302-000733</v>
          </cell>
          <cell r="B237" t="str">
            <v>302-000733</v>
          </cell>
        </row>
        <row r="238">
          <cell r="A238" t="str">
            <v>302-000734</v>
          </cell>
          <cell r="B238" t="str">
            <v>302-000734</v>
          </cell>
        </row>
        <row r="239">
          <cell r="A239" t="str">
            <v>302-000735</v>
          </cell>
          <cell r="B239" t="str">
            <v>302-000735</v>
          </cell>
        </row>
        <row r="240">
          <cell r="A240" t="str">
            <v>302-000736</v>
          </cell>
          <cell r="B240" t="str">
            <v>99-000736</v>
          </cell>
        </row>
        <row r="241">
          <cell r="A241" t="str">
            <v>302-000737</v>
          </cell>
          <cell r="B241" t="str">
            <v>99-000737</v>
          </cell>
        </row>
        <row r="242">
          <cell r="A242" t="str">
            <v>302-000738</v>
          </cell>
          <cell r="B242" t="str">
            <v>99-001187</v>
          </cell>
        </row>
        <row r="243">
          <cell r="A243" t="str">
            <v>302-000739</v>
          </cell>
          <cell r="B243" t="str">
            <v>99-000739</v>
          </cell>
        </row>
        <row r="244">
          <cell r="A244" t="str">
            <v>302-000740</v>
          </cell>
          <cell r="B244" t="str">
            <v>302-000740</v>
          </cell>
        </row>
        <row r="245">
          <cell r="A245" t="str">
            <v>302-000741</v>
          </cell>
          <cell r="B245" t="str">
            <v>99-000741</v>
          </cell>
        </row>
        <row r="246">
          <cell r="A246" t="str">
            <v>302-000749</v>
          </cell>
          <cell r="B246" t="str">
            <v>99-000749</v>
          </cell>
        </row>
        <row r="247">
          <cell r="A247" t="str">
            <v>302-000750</v>
          </cell>
          <cell r="B247" t="str">
            <v>99-000750</v>
          </cell>
        </row>
        <row r="248">
          <cell r="A248" t="str">
            <v>302-000755</v>
          </cell>
          <cell r="B248" t="str">
            <v>99-000755</v>
          </cell>
        </row>
        <row r="249">
          <cell r="A249" t="str">
            <v>302-000756</v>
          </cell>
          <cell r="B249" t="str">
            <v>99-000756</v>
          </cell>
        </row>
        <row r="250">
          <cell r="A250" t="str">
            <v>302-000774</v>
          </cell>
          <cell r="B250" t="str">
            <v>99-000774</v>
          </cell>
        </row>
        <row r="251">
          <cell r="A251" t="str">
            <v>302-000775</v>
          </cell>
          <cell r="B251" t="str">
            <v>99-000750</v>
          </cell>
        </row>
        <row r="252">
          <cell r="A252" t="str">
            <v>302-000776</v>
          </cell>
          <cell r="B252" t="str">
            <v>302-000776</v>
          </cell>
        </row>
        <row r="253">
          <cell r="A253" t="str">
            <v>302-000778</v>
          </cell>
          <cell r="B253" t="str">
            <v>302-000778</v>
          </cell>
        </row>
        <row r="254">
          <cell r="A254" t="str">
            <v>302-000779</v>
          </cell>
          <cell r="B254" t="str">
            <v>302-000779</v>
          </cell>
        </row>
        <row r="255">
          <cell r="A255" t="str">
            <v>302-000780</v>
          </cell>
          <cell r="B255" t="str">
            <v>302-000780</v>
          </cell>
        </row>
        <row r="256">
          <cell r="A256" t="str">
            <v>302-000781</v>
          </cell>
          <cell r="B256" t="str">
            <v>99-000781</v>
          </cell>
        </row>
        <row r="257">
          <cell r="A257" t="str">
            <v>302-000782</v>
          </cell>
          <cell r="B257" t="str">
            <v>99-000786</v>
          </cell>
        </row>
        <row r="258">
          <cell r="A258" t="str">
            <v>302-000783</v>
          </cell>
          <cell r="B258" t="str">
            <v>302-000783</v>
          </cell>
        </row>
        <row r="259">
          <cell r="A259" t="str">
            <v>302-000784</v>
          </cell>
          <cell r="B259" t="str">
            <v>99-001105</v>
          </cell>
        </row>
        <row r="260">
          <cell r="A260" t="str">
            <v>302-000785</v>
          </cell>
          <cell r="B260" t="str">
            <v>99-001105</v>
          </cell>
        </row>
        <row r="261">
          <cell r="A261" t="str">
            <v>302-000786</v>
          </cell>
          <cell r="B261" t="str">
            <v>99-000786</v>
          </cell>
        </row>
        <row r="262">
          <cell r="A262" t="str">
            <v>302-000788</v>
          </cell>
          <cell r="B262" t="str">
            <v>302-000788</v>
          </cell>
        </row>
        <row r="263">
          <cell r="A263" t="str">
            <v>302-000792</v>
          </cell>
          <cell r="B263" t="str">
            <v>99-001049</v>
          </cell>
        </row>
        <row r="264">
          <cell r="A264" t="str">
            <v>302-000793</v>
          </cell>
          <cell r="B264" t="str">
            <v>99-000793</v>
          </cell>
        </row>
        <row r="265">
          <cell r="A265" t="str">
            <v>302-000797</v>
          </cell>
          <cell r="B265" t="str">
            <v>88-000288</v>
          </cell>
        </row>
        <row r="266">
          <cell r="A266" t="str">
            <v>302-000852</v>
          </cell>
          <cell r="B266" t="str">
            <v>302-000852</v>
          </cell>
        </row>
        <row r="267">
          <cell r="A267" t="str">
            <v>302-000857</v>
          </cell>
          <cell r="B267" t="str">
            <v>302-000857</v>
          </cell>
        </row>
        <row r="268">
          <cell r="A268" t="str">
            <v>302-000858</v>
          </cell>
          <cell r="B268" t="str">
            <v>302-000858</v>
          </cell>
        </row>
        <row r="269">
          <cell r="A269" t="str">
            <v>302-000859</v>
          </cell>
          <cell r="B269" t="str">
            <v>302-000859</v>
          </cell>
        </row>
        <row r="270">
          <cell r="A270" t="str">
            <v>302-000864</v>
          </cell>
          <cell r="B270" t="str">
            <v>99-000864</v>
          </cell>
        </row>
        <row r="271">
          <cell r="A271" t="str">
            <v>302-000865</v>
          </cell>
          <cell r="B271" t="str">
            <v>99-000142</v>
          </cell>
        </row>
        <row r="272">
          <cell r="A272" t="str">
            <v>302-000870</v>
          </cell>
          <cell r="B272" t="str">
            <v>99-000146</v>
          </cell>
        </row>
        <row r="273">
          <cell r="A273" t="str">
            <v>302-000874</v>
          </cell>
          <cell r="B273" t="str">
            <v>99-000149</v>
          </cell>
        </row>
        <row r="274">
          <cell r="A274" t="str">
            <v>302-000875</v>
          </cell>
          <cell r="B274" t="str">
            <v>302-000875</v>
          </cell>
        </row>
        <row r="275">
          <cell r="A275" t="str">
            <v>302-000878</v>
          </cell>
          <cell r="B275" t="str">
            <v>99-000151</v>
          </cell>
        </row>
        <row r="276">
          <cell r="A276" t="str">
            <v>302-000881</v>
          </cell>
          <cell r="B276" t="str">
            <v>99-000135</v>
          </cell>
        </row>
        <row r="277">
          <cell r="A277" t="str">
            <v>302-000886</v>
          </cell>
          <cell r="B277" t="str">
            <v>302-000886</v>
          </cell>
        </row>
        <row r="278">
          <cell r="A278" t="str">
            <v>302-000887</v>
          </cell>
          <cell r="B278" t="str">
            <v>99-000786</v>
          </cell>
        </row>
        <row r="279">
          <cell r="A279" t="str">
            <v>302-000888</v>
          </cell>
          <cell r="B279" t="str">
            <v>99-000739</v>
          </cell>
        </row>
        <row r="280">
          <cell r="A280" t="str">
            <v>302-000893</v>
          </cell>
          <cell r="B280" t="str">
            <v>302-000893</v>
          </cell>
        </row>
        <row r="281">
          <cell r="A281" t="str">
            <v>302-000896</v>
          </cell>
          <cell r="B281" t="str">
            <v>99-000896</v>
          </cell>
        </row>
        <row r="282">
          <cell r="A282" t="str">
            <v>302-000897</v>
          </cell>
          <cell r="B282" t="str">
            <v>99-000897</v>
          </cell>
        </row>
        <row r="283">
          <cell r="A283" t="str">
            <v>302-000899</v>
          </cell>
          <cell r="B283" t="str">
            <v>99-000899</v>
          </cell>
        </row>
        <row r="284">
          <cell r="A284" t="str">
            <v>302-000904</v>
          </cell>
          <cell r="B284" t="str">
            <v>99-001049</v>
          </cell>
        </row>
        <row r="285">
          <cell r="A285" t="str">
            <v>302-000910</v>
          </cell>
          <cell r="B285" t="str">
            <v>99-000910</v>
          </cell>
        </row>
        <row r="286">
          <cell r="A286" t="str">
            <v>302-000958</v>
          </cell>
          <cell r="B286" t="str">
            <v>99-001067</v>
          </cell>
        </row>
        <row r="287">
          <cell r="A287" t="str">
            <v>302-000961</v>
          </cell>
          <cell r="B287" t="str">
            <v>99-000961</v>
          </cell>
        </row>
        <row r="288">
          <cell r="A288" t="str">
            <v>302-000977</v>
          </cell>
          <cell r="B288" t="str">
            <v>99-000977</v>
          </cell>
        </row>
        <row r="289">
          <cell r="A289" t="str">
            <v>302-000983</v>
          </cell>
          <cell r="B289" t="str">
            <v>99-002843</v>
          </cell>
        </row>
        <row r="290">
          <cell r="A290" t="str">
            <v>302-000984</v>
          </cell>
          <cell r="B290" t="str">
            <v>302-000984</v>
          </cell>
        </row>
        <row r="291">
          <cell r="A291" t="str">
            <v>302-000985</v>
          </cell>
          <cell r="B291" t="str">
            <v>302-000985</v>
          </cell>
        </row>
        <row r="292">
          <cell r="A292" t="str">
            <v>302-000986</v>
          </cell>
          <cell r="B292" t="str">
            <v>99-000986</v>
          </cell>
        </row>
        <row r="293">
          <cell r="A293" t="str">
            <v>302-000987</v>
          </cell>
          <cell r="B293" t="str">
            <v>302-000987</v>
          </cell>
        </row>
        <row r="294">
          <cell r="A294" t="str">
            <v>302-000988</v>
          </cell>
          <cell r="B294" t="str">
            <v>302-000988</v>
          </cell>
        </row>
        <row r="295">
          <cell r="A295" t="str">
            <v>302-000989</v>
          </cell>
          <cell r="B295" t="str">
            <v>99-000989</v>
          </cell>
        </row>
        <row r="296">
          <cell r="A296" t="str">
            <v>302-000990</v>
          </cell>
          <cell r="B296" t="str">
            <v>302-000990</v>
          </cell>
        </row>
        <row r="297">
          <cell r="A297" t="str">
            <v>302-000992</v>
          </cell>
          <cell r="B297" t="str">
            <v>302-000992</v>
          </cell>
        </row>
        <row r="298">
          <cell r="A298" t="str">
            <v>302-000996</v>
          </cell>
          <cell r="B298" t="str">
            <v>99-001183</v>
          </cell>
        </row>
        <row r="299">
          <cell r="A299" t="str">
            <v>302-000999</v>
          </cell>
          <cell r="B299" t="str">
            <v>99-000999</v>
          </cell>
        </row>
        <row r="300">
          <cell r="A300" t="str">
            <v>302-001001</v>
          </cell>
          <cell r="B300" t="str">
            <v>99-000297</v>
          </cell>
        </row>
        <row r="301">
          <cell r="A301" t="str">
            <v>302-001003</v>
          </cell>
          <cell r="B301" t="str">
            <v>99-001003</v>
          </cell>
        </row>
        <row r="302">
          <cell r="A302" t="str">
            <v>302-001004</v>
          </cell>
          <cell r="B302" t="str">
            <v>99-001004</v>
          </cell>
        </row>
        <row r="303">
          <cell r="A303" t="str">
            <v>302-001006</v>
          </cell>
          <cell r="B303" t="str">
            <v>99-000864</v>
          </cell>
        </row>
        <row r="304">
          <cell r="A304" t="str">
            <v>302-001007</v>
          </cell>
          <cell r="B304" t="str">
            <v>99-001016</v>
          </cell>
        </row>
        <row r="305">
          <cell r="A305" t="str">
            <v>302-001010</v>
          </cell>
          <cell r="B305" t="str">
            <v>302-001010</v>
          </cell>
        </row>
        <row r="306">
          <cell r="A306" t="str">
            <v>302-001013</v>
          </cell>
          <cell r="B306" t="str">
            <v>99-001013</v>
          </cell>
        </row>
        <row r="307">
          <cell r="A307" t="str">
            <v>302-001014</v>
          </cell>
          <cell r="B307" t="str">
            <v>99-001014</v>
          </cell>
        </row>
        <row r="308">
          <cell r="A308" t="str">
            <v>302-001015</v>
          </cell>
          <cell r="B308" t="str">
            <v>99-001015</v>
          </cell>
        </row>
        <row r="309">
          <cell r="A309" t="str">
            <v>302-001016</v>
          </cell>
          <cell r="B309" t="str">
            <v>99-001016</v>
          </cell>
        </row>
        <row r="310">
          <cell r="A310" t="str">
            <v>302-001017</v>
          </cell>
          <cell r="B310" t="str">
            <v>99-002104</v>
          </cell>
        </row>
        <row r="311">
          <cell r="A311" t="str">
            <v>302-001018</v>
          </cell>
          <cell r="B311" t="str">
            <v>302-001018</v>
          </cell>
        </row>
        <row r="312">
          <cell r="A312" t="str">
            <v>302-001019</v>
          </cell>
          <cell r="B312" t="str">
            <v>99-001019</v>
          </cell>
        </row>
        <row r="313">
          <cell r="A313" t="str">
            <v>302-001020</v>
          </cell>
          <cell r="B313" t="str">
            <v>99-001020</v>
          </cell>
        </row>
        <row r="314">
          <cell r="A314" t="str">
            <v>302-001021</v>
          </cell>
          <cell r="B314" t="str">
            <v>99-000134</v>
          </cell>
        </row>
        <row r="315">
          <cell r="A315" t="str">
            <v>302-001022</v>
          </cell>
          <cell r="B315" t="str">
            <v>302-001022</v>
          </cell>
        </row>
        <row r="316">
          <cell r="A316" t="str">
            <v>302-001036</v>
          </cell>
          <cell r="B316" t="str">
            <v>99-001036</v>
          </cell>
        </row>
        <row r="317">
          <cell r="A317" t="str">
            <v>302-001037</v>
          </cell>
          <cell r="B317" t="str">
            <v>99-000142</v>
          </cell>
        </row>
        <row r="318">
          <cell r="A318" t="str">
            <v>302-001038</v>
          </cell>
          <cell r="B318" t="str">
            <v>99-001013</v>
          </cell>
        </row>
        <row r="319">
          <cell r="A319" t="str">
            <v>302-001039</v>
          </cell>
          <cell r="B319" t="str">
            <v>99-001039</v>
          </cell>
        </row>
        <row r="320">
          <cell r="A320" t="str">
            <v>302-001040</v>
          </cell>
          <cell r="B320" t="str">
            <v>99-001040</v>
          </cell>
        </row>
        <row r="321">
          <cell r="A321" t="str">
            <v>302-001041</v>
          </cell>
          <cell r="B321" t="str">
            <v>99-001041</v>
          </cell>
        </row>
        <row r="322">
          <cell r="A322" t="str">
            <v>302-001042</v>
          </cell>
          <cell r="B322" t="str">
            <v>99-001042</v>
          </cell>
        </row>
        <row r="323">
          <cell r="A323" t="str">
            <v>302-001043</v>
          </cell>
          <cell r="B323" t="str">
            <v>99-001043</v>
          </cell>
        </row>
        <row r="324">
          <cell r="A324" t="str">
            <v>302-001044</v>
          </cell>
          <cell r="B324" t="str">
            <v>99-000646</v>
          </cell>
        </row>
        <row r="325">
          <cell r="A325" t="str">
            <v>302-001048</v>
          </cell>
          <cell r="B325" t="str">
            <v>99-001066</v>
          </cell>
        </row>
        <row r="326">
          <cell r="A326" t="str">
            <v>302-001049</v>
          </cell>
          <cell r="B326" t="str">
            <v>99-001049</v>
          </cell>
        </row>
        <row r="327">
          <cell r="A327" t="str">
            <v>302-001051</v>
          </cell>
          <cell r="B327" t="str">
            <v>302-001051</v>
          </cell>
        </row>
        <row r="328">
          <cell r="A328" t="str">
            <v>302-001052</v>
          </cell>
          <cell r="B328" t="str">
            <v>99-000646</v>
          </cell>
        </row>
        <row r="329">
          <cell r="A329" t="str">
            <v>302-001055</v>
          </cell>
          <cell r="B329" t="str">
            <v>99-001039</v>
          </cell>
        </row>
        <row r="330">
          <cell r="A330" t="str">
            <v>302-001056</v>
          </cell>
          <cell r="B330" t="str">
            <v>99-000781</v>
          </cell>
        </row>
        <row r="331">
          <cell r="A331" t="str">
            <v>302-001057</v>
          </cell>
          <cell r="B331" t="str">
            <v>302-001057</v>
          </cell>
        </row>
        <row r="332">
          <cell r="A332" t="str">
            <v>302-001065</v>
          </cell>
          <cell r="B332" t="str">
            <v>99-001043</v>
          </cell>
        </row>
        <row r="333">
          <cell r="A333" t="str">
            <v>302-001066</v>
          </cell>
          <cell r="B333" t="str">
            <v>99-001066</v>
          </cell>
        </row>
        <row r="334">
          <cell r="A334" t="str">
            <v>302-001067</v>
          </cell>
          <cell r="B334" t="str">
            <v>99-001067</v>
          </cell>
        </row>
        <row r="335">
          <cell r="A335" t="str">
            <v>302-001070</v>
          </cell>
          <cell r="B335" t="str">
            <v>99-001049</v>
          </cell>
        </row>
        <row r="336">
          <cell r="A336" t="str">
            <v>302-001077</v>
          </cell>
          <cell r="B336" t="str">
            <v>99-002652</v>
          </cell>
        </row>
        <row r="337">
          <cell r="A337" t="str">
            <v>302-001078</v>
          </cell>
          <cell r="B337" t="str">
            <v>99-001078</v>
          </cell>
        </row>
        <row r="338">
          <cell r="A338" t="str">
            <v>302-001080</v>
          </cell>
          <cell r="B338" t="str">
            <v>99-000148</v>
          </cell>
        </row>
        <row r="339">
          <cell r="A339" t="str">
            <v>302-001101</v>
          </cell>
          <cell r="B339" t="str">
            <v>99-000703</v>
          </cell>
        </row>
        <row r="340">
          <cell r="A340" t="str">
            <v>302-001112</v>
          </cell>
          <cell r="B340" t="str">
            <v>99-001163</v>
          </cell>
        </row>
        <row r="341">
          <cell r="A341" t="str">
            <v>302-001113</v>
          </cell>
          <cell r="B341" t="str">
            <v>99-000896</v>
          </cell>
        </row>
        <row r="342">
          <cell r="A342" t="str">
            <v>302-001115</v>
          </cell>
          <cell r="B342" t="str">
            <v>99-001115</v>
          </cell>
        </row>
        <row r="343">
          <cell r="A343" t="str">
            <v>302-001118</v>
          </cell>
          <cell r="B343" t="str">
            <v>99-002080</v>
          </cell>
        </row>
        <row r="344">
          <cell r="A344" t="str">
            <v>302-001120</v>
          </cell>
          <cell r="B344" t="str">
            <v>99-002091</v>
          </cell>
        </row>
        <row r="345">
          <cell r="A345" t="str">
            <v>302-001121</v>
          </cell>
          <cell r="B345" t="str">
            <v>99-001121</v>
          </cell>
        </row>
        <row r="346">
          <cell r="A346" t="str">
            <v>302-001122</v>
          </cell>
          <cell r="B346" t="str">
            <v>99-002086</v>
          </cell>
        </row>
        <row r="347">
          <cell r="A347" t="str">
            <v>302-001123</v>
          </cell>
          <cell r="B347" t="str">
            <v>99-002081</v>
          </cell>
        </row>
        <row r="348">
          <cell r="A348" t="str">
            <v>302-001124</v>
          </cell>
          <cell r="B348" t="str">
            <v>99-001862</v>
          </cell>
        </row>
        <row r="349">
          <cell r="A349" t="str">
            <v>302-001126</v>
          </cell>
          <cell r="B349" t="str">
            <v>99-001126</v>
          </cell>
        </row>
        <row r="350">
          <cell r="A350" t="str">
            <v>302-001127</v>
          </cell>
          <cell r="B350" t="str">
            <v>99-001127</v>
          </cell>
        </row>
        <row r="351">
          <cell r="A351" t="str">
            <v>302-001128</v>
          </cell>
          <cell r="B351" t="str">
            <v>99-000786</v>
          </cell>
        </row>
        <row r="352">
          <cell r="A352" t="str">
            <v>302-001129</v>
          </cell>
          <cell r="B352" t="str">
            <v>99-001129</v>
          </cell>
        </row>
        <row r="353">
          <cell r="A353" t="str">
            <v>302-001130</v>
          </cell>
          <cell r="B353" t="str">
            <v>99-001705</v>
          </cell>
        </row>
        <row r="354">
          <cell r="A354" t="str">
            <v>302-001136</v>
          </cell>
          <cell r="B354" t="str">
            <v>302-001136</v>
          </cell>
        </row>
        <row r="355">
          <cell r="A355" t="str">
            <v>302-001139</v>
          </cell>
          <cell r="B355" t="str">
            <v>302-001139</v>
          </cell>
        </row>
        <row r="356">
          <cell r="A356" t="str">
            <v>302-001147</v>
          </cell>
          <cell r="B356" t="str">
            <v>99-000741</v>
          </cell>
        </row>
        <row r="357">
          <cell r="A357" t="str">
            <v>302-001149</v>
          </cell>
          <cell r="B357" t="str">
            <v>99-000786</v>
          </cell>
        </row>
        <row r="358">
          <cell r="A358" t="str">
            <v>302-001151</v>
          </cell>
          <cell r="B358" t="str">
            <v>99-000755</v>
          </cell>
        </row>
        <row r="359">
          <cell r="A359" t="str">
            <v>302-001152</v>
          </cell>
          <cell r="B359" t="str">
            <v>99-000139</v>
          </cell>
        </row>
        <row r="360">
          <cell r="A360" t="str">
            <v>302-001153</v>
          </cell>
          <cell r="B360" t="str">
            <v>99-001019</v>
          </cell>
        </row>
        <row r="361">
          <cell r="A361" t="str">
            <v>302-001155</v>
          </cell>
          <cell r="B361" t="str">
            <v>99-001273</v>
          </cell>
        </row>
        <row r="362">
          <cell r="A362" t="str">
            <v>302-001156</v>
          </cell>
          <cell r="B362" t="str">
            <v>99-001156</v>
          </cell>
        </row>
        <row r="363">
          <cell r="A363" t="str">
            <v>302-001158</v>
          </cell>
          <cell r="B363" t="str">
            <v>99-000043</v>
          </cell>
        </row>
        <row r="364">
          <cell r="A364" t="str">
            <v>302-001163</v>
          </cell>
          <cell r="B364" t="str">
            <v>99-001163</v>
          </cell>
        </row>
        <row r="365">
          <cell r="A365" t="str">
            <v>302-001164</v>
          </cell>
          <cell r="B365" t="str">
            <v>99-001066</v>
          </cell>
        </row>
        <row r="366">
          <cell r="A366" t="str">
            <v>302-001165</v>
          </cell>
          <cell r="B366" t="str">
            <v>99-000774</v>
          </cell>
        </row>
        <row r="367">
          <cell r="A367" t="str">
            <v>302-001169</v>
          </cell>
          <cell r="B367" t="str">
            <v>99-000896</v>
          </cell>
        </row>
        <row r="368">
          <cell r="A368" t="str">
            <v>302-001170</v>
          </cell>
          <cell r="B368" t="str">
            <v>99-000448</v>
          </cell>
        </row>
        <row r="369">
          <cell r="A369" t="str">
            <v>302-001171</v>
          </cell>
          <cell r="B369" t="str">
            <v>99-001286</v>
          </cell>
        </row>
        <row r="370">
          <cell r="A370" t="str">
            <v>302-001172</v>
          </cell>
          <cell r="B370" t="str">
            <v>99-001287</v>
          </cell>
        </row>
        <row r="371">
          <cell r="A371" t="str">
            <v>302-001177</v>
          </cell>
          <cell r="B371" t="str">
            <v>99-000896</v>
          </cell>
        </row>
        <row r="372">
          <cell r="A372" t="str">
            <v>302-001179</v>
          </cell>
          <cell r="B372" t="str">
            <v>99-001646</v>
          </cell>
        </row>
        <row r="373">
          <cell r="A373" t="str">
            <v>302-001180</v>
          </cell>
          <cell r="B373" t="str">
            <v>99-003035</v>
          </cell>
        </row>
        <row r="374">
          <cell r="A374" t="str">
            <v>302-001181</v>
          </cell>
          <cell r="B374" t="str">
            <v>99-000147</v>
          </cell>
        </row>
        <row r="375">
          <cell r="A375" t="str">
            <v>302-001183</v>
          </cell>
          <cell r="B375" t="str">
            <v>99-001183</v>
          </cell>
        </row>
        <row r="376">
          <cell r="A376" t="str">
            <v>302-001185</v>
          </cell>
          <cell r="B376" t="str">
            <v>99-001016</v>
          </cell>
        </row>
        <row r="377">
          <cell r="A377" t="str">
            <v>302-001186</v>
          </cell>
          <cell r="B377" t="str">
            <v>99-000750</v>
          </cell>
        </row>
        <row r="378">
          <cell r="A378" t="str">
            <v>302-001187</v>
          </cell>
          <cell r="B378" t="str">
            <v>99-001187</v>
          </cell>
        </row>
        <row r="379">
          <cell r="A379" t="str">
            <v>302-001188</v>
          </cell>
          <cell r="B379" t="str">
            <v>302-001188</v>
          </cell>
        </row>
        <row r="380">
          <cell r="A380" t="str">
            <v>302-001192</v>
          </cell>
          <cell r="B380" t="str">
            <v>99-000417</v>
          </cell>
        </row>
        <row r="381">
          <cell r="A381" t="str">
            <v>302-001194</v>
          </cell>
          <cell r="B381" t="str">
            <v>99-000999</v>
          </cell>
        </row>
        <row r="382">
          <cell r="A382" t="str">
            <v>302-001195</v>
          </cell>
          <cell r="B382" t="str">
            <v>99-001019</v>
          </cell>
        </row>
        <row r="383">
          <cell r="A383" t="str">
            <v>302-001197</v>
          </cell>
          <cell r="B383" t="str">
            <v>302-001197</v>
          </cell>
        </row>
        <row r="384">
          <cell r="A384" t="str">
            <v>302-001238</v>
          </cell>
          <cell r="B384" t="str">
            <v>99-001043</v>
          </cell>
        </row>
        <row r="385">
          <cell r="A385" t="str">
            <v>302-001239</v>
          </cell>
          <cell r="B385" t="str">
            <v>99-001163</v>
          </cell>
        </row>
        <row r="386">
          <cell r="A386" t="str">
            <v>302-001240</v>
          </cell>
          <cell r="B386" t="str">
            <v>99-001163</v>
          </cell>
        </row>
        <row r="387">
          <cell r="A387" t="str">
            <v>302-001241</v>
          </cell>
          <cell r="B387" t="str">
            <v>99-001043</v>
          </cell>
        </row>
        <row r="388">
          <cell r="A388" t="str">
            <v>302-001243</v>
          </cell>
          <cell r="B388" t="str">
            <v>99-001163</v>
          </cell>
        </row>
        <row r="389">
          <cell r="A389" t="str">
            <v>302-001261</v>
          </cell>
          <cell r="B389" t="str">
            <v>99-001261</v>
          </cell>
        </row>
        <row r="390">
          <cell r="A390" t="str">
            <v>302-001265</v>
          </cell>
          <cell r="B390" t="str">
            <v>99-001846</v>
          </cell>
        </row>
        <row r="391">
          <cell r="A391" t="str">
            <v>302-001272</v>
          </cell>
          <cell r="B391" t="str">
            <v>99-001015</v>
          </cell>
        </row>
        <row r="392">
          <cell r="A392" t="str">
            <v>302-001273</v>
          </cell>
          <cell r="B392" t="str">
            <v>99-001273</v>
          </cell>
        </row>
        <row r="393">
          <cell r="A393" t="str">
            <v>302-001274</v>
          </cell>
          <cell r="B393" t="str">
            <v>99-000786</v>
          </cell>
        </row>
        <row r="394">
          <cell r="A394" t="str">
            <v>302-001278</v>
          </cell>
          <cell r="B394" t="str">
            <v>99-000786</v>
          </cell>
        </row>
        <row r="395">
          <cell r="A395" t="str">
            <v>302-001279</v>
          </cell>
          <cell r="B395" t="str">
            <v>99-000157</v>
          </cell>
        </row>
        <row r="396">
          <cell r="A396" t="str">
            <v>302-001286</v>
          </cell>
          <cell r="B396" t="str">
            <v>99-001286</v>
          </cell>
        </row>
        <row r="397">
          <cell r="A397" t="str">
            <v>302-001287</v>
          </cell>
          <cell r="B397" t="str">
            <v>99-001287</v>
          </cell>
        </row>
        <row r="398">
          <cell r="A398" t="str">
            <v>302-001288</v>
          </cell>
          <cell r="B398" t="str">
            <v>99-001067</v>
          </cell>
        </row>
        <row r="399">
          <cell r="A399" t="str">
            <v>302-001291</v>
          </cell>
          <cell r="B399" t="str">
            <v>99-001291</v>
          </cell>
        </row>
        <row r="400">
          <cell r="A400" t="str">
            <v>302-001299</v>
          </cell>
          <cell r="B400" t="str">
            <v>302-001299</v>
          </cell>
        </row>
        <row r="401">
          <cell r="A401" t="str">
            <v>302-001308</v>
          </cell>
          <cell r="B401" t="str">
            <v>99-000774</v>
          </cell>
        </row>
        <row r="402">
          <cell r="A402" t="str">
            <v>302-001309</v>
          </cell>
          <cell r="B402" t="str">
            <v>99-000184</v>
          </cell>
        </row>
        <row r="403">
          <cell r="A403" t="str">
            <v>302-001310</v>
          </cell>
          <cell r="B403" t="str">
            <v>99-001310</v>
          </cell>
        </row>
        <row r="404">
          <cell r="A404" t="str">
            <v>302-001316</v>
          </cell>
          <cell r="B404" t="str">
            <v>99-001273</v>
          </cell>
        </row>
        <row r="405">
          <cell r="A405" t="str">
            <v>302-001321</v>
          </cell>
          <cell r="B405" t="str">
            <v>99-001078</v>
          </cell>
        </row>
        <row r="406">
          <cell r="A406" t="str">
            <v>302-001322</v>
          </cell>
          <cell r="B406" t="str">
            <v>302-001322</v>
          </cell>
        </row>
        <row r="407">
          <cell r="A407" t="str">
            <v>302-001323</v>
          </cell>
          <cell r="B407" t="str">
            <v>99-000083</v>
          </cell>
        </row>
        <row r="408">
          <cell r="A408" t="str">
            <v>302-001328</v>
          </cell>
          <cell r="B408" t="str">
            <v>99-002108</v>
          </cell>
        </row>
        <row r="409">
          <cell r="A409" t="str">
            <v>302-001331</v>
          </cell>
          <cell r="B409" t="str">
            <v>302-001331</v>
          </cell>
        </row>
        <row r="410">
          <cell r="A410" t="str">
            <v>302-001332</v>
          </cell>
          <cell r="B410" t="str">
            <v>99-001066</v>
          </cell>
        </row>
        <row r="411">
          <cell r="A411" t="str">
            <v>302-001333</v>
          </cell>
          <cell r="B411" t="str">
            <v>99-001129</v>
          </cell>
        </row>
        <row r="412">
          <cell r="A412" t="str">
            <v>302-001334</v>
          </cell>
          <cell r="B412" t="str">
            <v>99-000899</v>
          </cell>
        </row>
        <row r="413">
          <cell r="A413" t="str">
            <v>302-001335</v>
          </cell>
          <cell r="B413" t="str">
            <v>99-001183</v>
          </cell>
        </row>
        <row r="414">
          <cell r="A414" t="str">
            <v>302-001345</v>
          </cell>
          <cell r="B414" t="str">
            <v>99-000413</v>
          </cell>
        </row>
        <row r="415">
          <cell r="A415" t="str">
            <v>302-001346</v>
          </cell>
          <cell r="B415" t="str">
            <v>99-001346</v>
          </cell>
        </row>
        <row r="416">
          <cell r="A416" t="str">
            <v>302-001347</v>
          </cell>
          <cell r="B416" t="str">
            <v>99-000708</v>
          </cell>
        </row>
        <row r="417">
          <cell r="A417" t="str">
            <v>302-001349</v>
          </cell>
          <cell r="B417" t="str">
            <v>99-001349</v>
          </cell>
        </row>
        <row r="418">
          <cell r="A418" t="str">
            <v>302-001350</v>
          </cell>
          <cell r="B418" t="str">
            <v>99-000426</v>
          </cell>
        </row>
        <row r="419">
          <cell r="A419" t="str">
            <v>302-001351</v>
          </cell>
          <cell r="B419" t="str">
            <v>99-001346</v>
          </cell>
        </row>
        <row r="420">
          <cell r="A420" t="str">
            <v>302-001352</v>
          </cell>
          <cell r="B420" t="str">
            <v>99-001349</v>
          </cell>
        </row>
        <row r="421">
          <cell r="A421" t="str">
            <v>302-001353</v>
          </cell>
          <cell r="B421" t="str">
            <v>99-001354</v>
          </cell>
        </row>
        <row r="422">
          <cell r="A422" t="str">
            <v>302-001354</v>
          </cell>
          <cell r="B422" t="str">
            <v>99-001354</v>
          </cell>
        </row>
        <row r="423">
          <cell r="A423" t="str">
            <v>302-001357</v>
          </cell>
          <cell r="B423" t="str">
            <v>99-000712</v>
          </cell>
        </row>
        <row r="424">
          <cell r="A424" t="str">
            <v>302-001358</v>
          </cell>
          <cell r="B424" t="str">
            <v>99-000711</v>
          </cell>
        </row>
        <row r="425">
          <cell r="A425" t="str">
            <v>302-001362</v>
          </cell>
          <cell r="B425" t="str">
            <v>99-001003</v>
          </cell>
        </row>
        <row r="426">
          <cell r="A426" t="str">
            <v>302-001363</v>
          </cell>
          <cell r="B426" t="str">
            <v>99-000708</v>
          </cell>
        </row>
        <row r="427">
          <cell r="A427" t="str">
            <v>302-001369</v>
          </cell>
          <cell r="B427" t="str">
            <v>99-001369</v>
          </cell>
        </row>
        <row r="428">
          <cell r="A428" t="str">
            <v>302-001376</v>
          </cell>
          <cell r="B428" t="str">
            <v>99-000043</v>
          </cell>
        </row>
        <row r="429">
          <cell r="A429" t="str">
            <v>302-001379</v>
          </cell>
          <cell r="B429" t="str">
            <v>99-000135</v>
          </cell>
        </row>
        <row r="430">
          <cell r="A430" t="str">
            <v>302-001381</v>
          </cell>
          <cell r="B430" t="str">
            <v>302-001381</v>
          </cell>
        </row>
        <row r="431">
          <cell r="A431" t="str">
            <v>302-001382</v>
          </cell>
          <cell r="B431" t="str">
            <v>99-001382</v>
          </cell>
        </row>
        <row r="432">
          <cell r="A432" t="str">
            <v>302-001387</v>
          </cell>
          <cell r="B432" t="str">
            <v>99-001382</v>
          </cell>
        </row>
        <row r="433">
          <cell r="A433" t="str">
            <v>302-001393</v>
          </cell>
          <cell r="B433" t="str">
            <v>302-001393</v>
          </cell>
        </row>
        <row r="434">
          <cell r="A434" t="str">
            <v>302-001400</v>
          </cell>
          <cell r="B434" t="str">
            <v>99-001400</v>
          </cell>
        </row>
        <row r="435">
          <cell r="A435" t="str">
            <v>302-001509</v>
          </cell>
          <cell r="B435" t="str">
            <v>99-000139</v>
          </cell>
        </row>
        <row r="436">
          <cell r="A436" t="str">
            <v>302-001511</v>
          </cell>
          <cell r="B436" t="str">
            <v>302-001511</v>
          </cell>
        </row>
        <row r="437">
          <cell r="A437" t="str">
            <v>302-001513</v>
          </cell>
          <cell r="B437" t="str">
            <v>99-001716</v>
          </cell>
        </row>
        <row r="438">
          <cell r="A438" t="str">
            <v>302-001514</v>
          </cell>
          <cell r="B438" t="str">
            <v>99-001514</v>
          </cell>
        </row>
        <row r="439">
          <cell r="A439" t="str">
            <v>302-001549</v>
          </cell>
          <cell r="B439" t="str">
            <v>99-001549</v>
          </cell>
        </row>
        <row r="440">
          <cell r="A440" t="str">
            <v>302-001552</v>
          </cell>
          <cell r="B440" t="str">
            <v>99-000708</v>
          </cell>
        </row>
        <row r="441">
          <cell r="A441" t="str">
            <v>302-001555</v>
          </cell>
          <cell r="B441" t="str">
            <v>302-001555</v>
          </cell>
        </row>
        <row r="442">
          <cell r="A442" t="str">
            <v>302-001563</v>
          </cell>
          <cell r="B442" t="str">
            <v>99-001655</v>
          </cell>
        </row>
        <row r="443">
          <cell r="A443" t="str">
            <v>302-001571</v>
          </cell>
          <cell r="B443" t="str">
            <v>99-000896</v>
          </cell>
        </row>
        <row r="444">
          <cell r="A444" t="str">
            <v>302-001572</v>
          </cell>
          <cell r="B444" t="str">
            <v>99-000148</v>
          </cell>
        </row>
        <row r="445">
          <cell r="A445" t="str">
            <v>302-001582</v>
          </cell>
          <cell r="B445" t="str">
            <v>99-000135</v>
          </cell>
        </row>
        <row r="446">
          <cell r="A446" t="str">
            <v>302-001583</v>
          </cell>
          <cell r="B446" t="str">
            <v>302-001583</v>
          </cell>
        </row>
        <row r="447">
          <cell r="A447" t="str">
            <v>302-001592</v>
          </cell>
          <cell r="B447" t="str">
            <v>99-000712</v>
          </cell>
        </row>
        <row r="448">
          <cell r="A448" t="str">
            <v>302-001593</v>
          </cell>
          <cell r="B448" t="str">
            <v>99-000711</v>
          </cell>
        </row>
        <row r="449">
          <cell r="A449" t="str">
            <v>302-001598</v>
          </cell>
          <cell r="B449" t="str">
            <v>99-000704</v>
          </cell>
        </row>
        <row r="450">
          <cell r="A450" t="str">
            <v>302-001601</v>
          </cell>
          <cell r="B450" t="str">
            <v>99-000712</v>
          </cell>
        </row>
        <row r="451">
          <cell r="A451" t="str">
            <v>302-001604</v>
          </cell>
          <cell r="B451" t="str">
            <v>99-001626</v>
          </cell>
        </row>
        <row r="452">
          <cell r="A452" t="str">
            <v>302-001607</v>
          </cell>
          <cell r="B452" t="str">
            <v>99-001607</v>
          </cell>
        </row>
        <row r="453">
          <cell r="A453" t="str">
            <v>302-001614</v>
          </cell>
          <cell r="B453" t="str">
            <v>99-000706</v>
          </cell>
        </row>
        <row r="454">
          <cell r="A454" t="str">
            <v>302-001616</v>
          </cell>
          <cell r="B454" t="str">
            <v>99-000711</v>
          </cell>
        </row>
        <row r="455">
          <cell r="A455" t="str">
            <v>302-001626</v>
          </cell>
          <cell r="B455" t="str">
            <v>99-001626</v>
          </cell>
        </row>
        <row r="456">
          <cell r="A456" t="str">
            <v>302-001627</v>
          </cell>
          <cell r="B456" t="str">
            <v>99-001627</v>
          </cell>
        </row>
        <row r="457">
          <cell r="A457" t="str">
            <v>302-001629</v>
          </cell>
          <cell r="B457" t="str">
            <v>99-000896</v>
          </cell>
        </row>
        <row r="458">
          <cell r="A458" t="str">
            <v>302-001631</v>
          </cell>
          <cell r="B458" t="str">
            <v>99-000896</v>
          </cell>
        </row>
        <row r="459">
          <cell r="A459" t="str">
            <v>302-001632</v>
          </cell>
          <cell r="B459" t="str">
            <v>99-000793</v>
          </cell>
        </row>
        <row r="460">
          <cell r="A460" t="str">
            <v>302-001635</v>
          </cell>
          <cell r="B460" t="str">
            <v>302-001635</v>
          </cell>
        </row>
        <row r="461">
          <cell r="A461" t="str">
            <v>302-001636</v>
          </cell>
          <cell r="B461" t="str">
            <v>302-001636</v>
          </cell>
        </row>
        <row r="462">
          <cell r="A462" t="str">
            <v>302-001642</v>
          </cell>
          <cell r="B462" t="str">
            <v>99-000686</v>
          </cell>
        </row>
        <row r="463">
          <cell r="A463" t="str">
            <v>302-001644</v>
          </cell>
          <cell r="B463" t="str">
            <v>99-001627</v>
          </cell>
        </row>
        <row r="464">
          <cell r="A464" t="str">
            <v>302-001646</v>
          </cell>
          <cell r="B464" t="str">
            <v>99-001646</v>
          </cell>
        </row>
        <row r="465">
          <cell r="A465" t="str">
            <v>302-001647</v>
          </cell>
          <cell r="B465" t="str">
            <v>99-000147</v>
          </cell>
        </row>
        <row r="466">
          <cell r="A466" t="str">
            <v>302-001650</v>
          </cell>
          <cell r="B466" t="str">
            <v>302-001650</v>
          </cell>
        </row>
        <row r="467">
          <cell r="A467" t="str">
            <v>302-001652</v>
          </cell>
          <cell r="B467" t="str">
            <v>302-001652</v>
          </cell>
        </row>
        <row r="468">
          <cell r="A468" t="str">
            <v>302-001653</v>
          </cell>
          <cell r="B468" t="str">
            <v>99-001067</v>
          </cell>
        </row>
        <row r="469">
          <cell r="A469" t="str">
            <v>302-001655</v>
          </cell>
          <cell r="B469" t="str">
            <v>99-001655</v>
          </cell>
        </row>
        <row r="470">
          <cell r="A470" t="str">
            <v>302-001657</v>
          </cell>
          <cell r="B470" t="str">
            <v>99-000380</v>
          </cell>
        </row>
        <row r="471">
          <cell r="A471" t="str">
            <v>302-001658</v>
          </cell>
          <cell r="B471" t="str">
            <v>99-000412</v>
          </cell>
        </row>
        <row r="472">
          <cell r="A472" t="str">
            <v>302-001659</v>
          </cell>
          <cell r="B472" t="str">
            <v>99-000380</v>
          </cell>
        </row>
        <row r="473">
          <cell r="A473" t="str">
            <v>302-001670</v>
          </cell>
          <cell r="B473" t="str">
            <v>99-001670</v>
          </cell>
        </row>
        <row r="474">
          <cell r="A474" t="str">
            <v>302-001672</v>
          </cell>
          <cell r="B474" t="str">
            <v>99-001043</v>
          </cell>
        </row>
        <row r="475">
          <cell r="A475" t="str">
            <v>302-001676</v>
          </cell>
          <cell r="B475" t="str">
            <v>99-001670</v>
          </cell>
        </row>
        <row r="476">
          <cell r="A476" t="str">
            <v>302-001677</v>
          </cell>
          <cell r="B476" t="str">
            <v>99-000750</v>
          </cell>
        </row>
        <row r="477">
          <cell r="A477" t="str">
            <v>302-001684</v>
          </cell>
          <cell r="B477" t="str">
            <v>99-000412</v>
          </cell>
        </row>
        <row r="478">
          <cell r="A478" t="str">
            <v>302-001701</v>
          </cell>
          <cell r="B478" t="str">
            <v>302-001701</v>
          </cell>
        </row>
        <row r="479">
          <cell r="A479" t="str">
            <v>302-001705</v>
          </cell>
          <cell r="B479" t="str">
            <v>99-001705</v>
          </cell>
        </row>
        <row r="480">
          <cell r="A480" t="str">
            <v>302-001710</v>
          </cell>
          <cell r="B480" t="str">
            <v>99-000712</v>
          </cell>
        </row>
        <row r="481">
          <cell r="A481" t="str">
            <v>302-001713</v>
          </cell>
          <cell r="B481" t="str">
            <v>99-000896</v>
          </cell>
        </row>
        <row r="482">
          <cell r="A482" t="str">
            <v>302-001714</v>
          </cell>
          <cell r="B482" t="str">
            <v>99-001714</v>
          </cell>
        </row>
        <row r="483">
          <cell r="A483" t="str">
            <v>302-001715</v>
          </cell>
          <cell r="B483" t="str">
            <v>99-000793</v>
          </cell>
        </row>
        <row r="484">
          <cell r="A484" t="str">
            <v>302-001716</v>
          </cell>
          <cell r="B484" t="str">
            <v>99-001716</v>
          </cell>
        </row>
        <row r="485">
          <cell r="A485" t="str">
            <v>302-001717</v>
          </cell>
          <cell r="B485" t="str">
            <v>302-001717</v>
          </cell>
        </row>
        <row r="486">
          <cell r="A486" t="str">
            <v>302-001718</v>
          </cell>
          <cell r="B486" t="str">
            <v>302-001718</v>
          </cell>
        </row>
        <row r="487">
          <cell r="A487" t="str">
            <v>302-001724</v>
          </cell>
          <cell r="B487" t="str">
            <v>302-001724</v>
          </cell>
        </row>
        <row r="488">
          <cell r="A488" t="str">
            <v>302-001726</v>
          </cell>
          <cell r="B488" t="str">
            <v>99-000897</v>
          </cell>
        </row>
        <row r="489">
          <cell r="A489" t="str">
            <v>302-001750</v>
          </cell>
          <cell r="B489" t="str">
            <v>99-001843</v>
          </cell>
        </row>
        <row r="490">
          <cell r="A490" t="str">
            <v>302-001763</v>
          </cell>
          <cell r="B490" t="str">
            <v>302-001763</v>
          </cell>
        </row>
        <row r="491">
          <cell r="A491" t="str">
            <v>302-001764</v>
          </cell>
          <cell r="B491" t="str">
            <v>99-000134</v>
          </cell>
        </row>
        <row r="492">
          <cell r="A492" t="str">
            <v>302-001768</v>
          </cell>
          <cell r="B492" t="str">
            <v>99-000149</v>
          </cell>
        </row>
        <row r="493">
          <cell r="A493" t="str">
            <v>302-001770</v>
          </cell>
          <cell r="B493" t="str">
            <v>99-001770</v>
          </cell>
        </row>
        <row r="494">
          <cell r="A494" t="str">
            <v>302-001771</v>
          </cell>
          <cell r="B494" t="str">
            <v>302-001771</v>
          </cell>
        </row>
        <row r="495">
          <cell r="A495" t="str">
            <v>302-001773</v>
          </cell>
          <cell r="B495" t="str">
            <v>302-001773</v>
          </cell>
        </row>
        <row r="496">
          <cell r="A496" t="str">
            <v>302-001774</v>
          </cell>
          <cell r="B496" t="str">
            <v>302-001774</v>
          </cell>
        </row>
        <row r="497">
          <cell r="A497" t="str">
            <v>302-001775</v>
          </cell>
          <cell r="B497" t="str">
            <v>88-001775</v>
          </cell>
        </row>
        <row r="498">
          <cell r="A498" t="str">
            <v>302-001776</v>
          </cell>
          <cell r="B498" t="str">
            <v>99-003470</v>
          </cell>
        </row>
        <row r="499">
          <cell r="A499" t="str">
            <v>302-001778</v>
          </cell>
          <cell r="B499" t="str">
            <v>99-001778</v>
          </cell>
        </row>
        <row r="500">
          <cell r="A500" t="str">
            <v>302-001780</v>
          </cell>
          <cell r="B500" t="str">
            <v>99-001780</v>
          </cell>
        </row>
        <row r="501">
          <cell r="A501" t="str">
            <v>302-001783</v>
          </cell>
          <cell r="B501" t="str">
            <v>99-001014</v>
          </cell>
        </row>
        <row r="502">
          <cell r="A502" t="str">
            <v>302-001786</v>
          </cell>
          <cell r="B502" t="str">
            <v>99-000704</v>
          </cell>
        </row>
        <row r="503">
          <cell r="A503" t="str">
            <v>302-001787</v>
          </cell>
          <cell r="B503" t="str">
            <v>99-001346</v>
          </cell>
        </row>
        <row r="504">
          <cell r="A504" t="str">
            <v>302-001797</v>
          </cell>
          <cell r="B504" t="str">
            <v>99-000381</v>
          </cell>
        </row>
        <row r="505">
          <cell r="A505" t="str">
            <v>302-001799</v>
          </cell>
          <cell r="B505" t="str">
            <v>99-000380</v>
          </cell>
        </row>
        <row r="506">
          <cell r="A506" t="str">
            <v>302-001800</v>
          </cell>
          <cell r="B506" t="str">
            <v>302-001800</v>
          </cell>
        </row>
        <row r="507">
          <cell r="A507" t="str">
            <v>302-001802</v>
          </cell>
          <cell r="B507" t="str">
            <v>99-001802</v>
          </cell>
        </row>
        <row r="508">
          <cell r="A508" t="str">
            <v>302-001813</v>
          </cell>
          <cell r="B508" t="str">
            <v>99-001115</v>
          </cell>
        </row>
        <row r="509">
          <cell r="A509" t="str">
            <v>302-001815</v>
          </cell>
          <cell r="B509" t="str">
            <v>99-001049</v>
          </cell>
        </row>
        <row r="510">
          <cell r="A510" t="str">
            <v>302-001816</v>
          </cell>
          <cell r="B510" t="str">
            <v>99-001043</v>
          </cell>
        </row>
        <row r="511">
          <cell r="A511" t="str">
            <v>302-001817</v>
          </cell>
          <cell r="B511" t="str">
            <v>302-001817</v>
          </cell>
        </row>
        <row r="512">
          <cell r="A512" t="str">
            <v>302-001820</v>
          </cell>
          <cell r="B512" t="str">
            <v>99-001820</v>
          </cell>
        </row>
        <row r="513">
          <cell r="A513" t="str">
            <v>302-001823</v>
          </cell>
          <cell r="B513" t="str">
            <v>302-001823</v>
          </cell>
        </row>
        <row r="514">
          <cell r="A514" t="str">
            <v>302-001824</v>
          </cell>
          <cell r="B514" t="str">
            <v>302-001824</v>
          </cell>
        </row>
        <row r="515">
          <cell r="A515" t="str">
            <v>302-001825</v>
          </cell>
          <cell r="B515" t="str">
            <v>302-001825</v>
          </cell>
        </row>
        <row r="516">
          <cell r="A516" t="str">
            <v>302-001826</v>
          </cell>
          <cell r="B516" t="str">
            <v>302-001826</v>
          </cell>
        </row>
        <row r="517">
          <cell r="A517" t="str">
            <v>302-001827</v>
          </cell>
          <cell r="B517" t="str">
            <v>302-001827</v>
          </cell>
        </row>
        <row r="518">
          <cell r="A518" t="str">
            <v>302-001828</v>
          </cell>
          <cell r="B518" t="str">
            <v>302-001828</v>
          </cell>
        </row>
        <row r="519">
          <cell r="A519" t="str">
            <v>302-001829</v>
          </cell>
          <cell r="B519" t="str">
            <v>302-001829</v>
          </cell>
        </row>
        <row r="520">
          <cell r="A520" t="str">
            <v>302-001831</v>
          </cell>
          <cell r="B520" t="str">
            <v>302-001831</v>
          </cell>
        </row>
        <row r="521">
          <cell r="A521" t="str">
            <v>302-001832</v>
          </cell>
          <cell r="B521" t="str">
            <v>302-001832</v>
          </cell>
        </row>
        <row r="522">
          <cell r="A522" t="str">
            <v>302-001833</v>
          </cell>
          <cell r="B522" t="str">
            <v>302-001833</v>
          </cell>
        </row>
        <row r="523">
          <cell r="A523" t="str">
            <v>302-001834</v>
          </cell>
          <cell r="B523" t="str">
            <v>302-001834</v>
          </cell>
        </row>
        <row r="524">
          <cell r="A524" t="str">
            <v>302-001835</v>
          </cell>
          <cell r="B524" t="str">
            <v>302-001835</v>
          </cell>
        </row>
        <row r="525">
          <cell r="A525" t="str">
            <v>302-001836</v>
          </cell>
          <cell r="B525" t="str">
            <v>302-001836</v>
          </cell>
        </row>
        <row r="526">
          <cell r="A526" t="str">
            <v>302-001838</v>
          </cell>
          <cell r="B526" t="str">
            <v>302-001838</v>
          </cell>
        </row>
        <row r="527">
          <cell r="A527" t="str">
            <v>302-001839</v>
          </cell>
          <cell r="B527" t="str">
            <v>302-001839</v>
          </cell>
        </row>
        <row r="528">
          <cell r="A528" t="str">
            <v>302-001840</v>
          </cell>
          <cell r="B528" t="str">
            <v>99-001840</v>
          </cell>
        </row>
        <row r="529">
          <cell r="A529" t="str">
            <v>302-001841</v>
          </cell>
          <cell r="B529" t="str">
            <v>302-001841</v>
          </cell>
        </row>
        <row r="530">
          <cell r="A530" t="str">
            <v>302-001842</v>
          </cell>
          <cell r="B530" t="str">
            <v>99-001842</v>
          </cell>
        </row>
        <row r="531">
          <cell r="A531" t="str">
            <v>302-001843</v>
          </cell>
          <cell r="B531" t="str">
            <v>99-001843</v>
          </cell>
        </row>
        <row r="532">
          <cell r="A532" t="str">
            <v>302-001844</v>
          </cell>
          <cell r="B532" t="str">
            <v>99-001844</v>
          </cell>
        </row>
        <row r="533">
          <cell r="A533" t="str">
            <v>302-001845</v>
          </cell>
          <cell r="B533" t="str">
            <v>99-000899</v>
          </cell>
        </row>
        <row r="534">
          <cell r="A534" t="str">
            <v>302-001846</v>
          </cell>
          <cell r="B534" t="str">
            <v>99-001846</v>
          </cell>
        </row>
        <row r="535">
          <cell r="A535" t="str">
            <v>302-001847</v>
          </cell>
          <cell r="B535" t="str">
            <v>99-001846</v>
          </cell>
        </row>
        <row r="536">
          <cell r="A536" t="str">
            <v>302-001857</v>
          </cell>
          <cell r="B536" t="str">
            <v>99-001014</v>
          </cell>
        </row>
        <row r="537">
          <cell r="A537" t="str">
            <v>302-001858</v>
          </cell>
          <cell r="B537" t="str">
            <v>99-001291</v>
          </cell>
        </row>
        <row r="538">
          <cell r="A538" t="str">
            <v>302-001859</v>
          </cell>
          <cell r="B538" t="str">
            <v>99-001115</v>
          </cell>
        </row>
        <row r="539">
          <cell r="A539" t="str">
            <v>302-001861</v>
          </cell>
          <cell r="B539" t="str">
            <v>302-001861</v>
          </cell>
        </row>
        <row r="540">
          <cell r="A540" t="str">
            <v>302-001862</v>
          </cell>
          <cell r="B540" t="str">
            <v>99-001862</v>
          </cell>
        </row>
        <row r="541">
          <cell r="A541" t="str">
            <v>302-001864</v>
          </cell>
          <cell r="B541" t="str">
            <v>302-001864</v>
          </cell>
        </row>
        <row r="542">
          <cell r="A542" t="str">
            <v>302-001865</v>
          </cell>
          <cell r="B542" t="str">
            <v>302-001865</v>
          </cell>
        </row>
        <row r="543">
          <cell r="A543" t="str">
            <v>302-001866</v>
          </cell>
          <cell r="B543" t="str">
            <v>99-001866</v>
          </cell>
        </row>
        <row r="544">
          <cell r="A544" t="str">
            <v>302-001868</v>
          </cell>
          <cell r="B544" t="str">
            <v>302-001868</v>
          </cell>
        </row>
        <row r="545">
          <cell r="A545" t="str">
            <v>302-001869</v>
          </cell>
          <cell r="B545" t="str">
            <v>302-001869</v>
          </cell>
        </row>
        <row r="546">
          <cell r="A546" t="str">
            <v>302-001871</v>
          </cell>
          <cell r="B546" t="str">
            <v>88-000290</v>
          </cell>
        </row>
        <row r="547">
          <cell r="A547" t="str">
            <v>302-001873</v>
          </cell>
          <cell r="B547" t="str">
            <v>99-000142</v>
          </cell>
        </row>
        <row r="548">
          <cell r="A548" t="str">
            <v>302-001875</v>
          </cell>
          <cell r="B548" t="str">
            <v>99-001875</v>
          </cell>
        </row>
        <row r="549">
          <cell r="A549" t="str">
            <v>302-001877</v>
          </cell>
          <cell r="B549" t="str">
            <v>99-001877</v>
          </cell>
        </row>
        <row r="550">
          <cell r="A550" t="str">
            <v>302-001878</v>
          </cell>
          <cell r="B550" t="str">
            <v>302-001878</v>
          </cell>
        </row>
        <row r="551">
          <cell r="A551" t="str">
            <v>302-001879</v>
          </cell>
          <cell r="B551" t="str">
            <v>99-000083</v>
          </cell>
        </row>
        <row r="552">
          <cell r="A552" t="str">
            <v>302-001882</v>
          </cell>
          <cell r="B552" t="str">
            <v>99-001882</v>
          </cell>
        </row>
        <row r="553">
          <cell r="A553" t="str">
            <v>302-001883</v>
          </cell>
          <cell r="B553" t="str">
            <v>99-001883</v>
          </cell>
        </row>
        <row r="554">
          <cell r="A554" t="str">
            <v>302-001884</v>
          </cell>
          <cell r="B554" t="str">
            <v>99-001844</v>
          </cell>
        </row>
        <row r="555">
          <cell r="A555" t="str">
            <v>302-001885</v>
          </cell>
          <cell r="B555" t="str">
            <v>302-001885</v>
          </cell>
        </row>
        <row r="556">
          <cell r="A556" t="str">
            <v>302-001886</v>
          </cell>
          <cell r="B556" t="str">
            <v>99-001886</v>
          </cell>
        </row>
        <row r="557">
          <cell r="A557" t="str">
            <v>302-001887</v>
          </cell>
          <cell r="B557" t="str">
            <v>302-001887</v>
          </cell>
        </row>
        <row r="558">
          <cell r="A558" t="str">
            <v>302-001889</v>
          </cell>
          <cell r="B558" t="str">
            <v>302-001889</v>
          </cell>
        </row>
        <row r="559">
          <cell r="A559" t="str">
            <v>302-001890</v>
          </cell>
          <cell r="B559" t="str">
            <v>302-001890</v>
          </cell>
        </row>
        <row r="560">
          <cell r="A560" t="str">
            <v>302-001891</v>
          </cell>
          <cell r="B560" t="str">
            <v>302-001891</v>
          </cell>
        </row>
        <row r="561">
          <cell r="A561" t="str">
            <v>302-001892</v>
          </cell>
          <cell r="B561" t="str">
            <v>99-001349</v>
          </cell>
        </row>
        <row r="562">
          <cell r="A562" t="str">
            <v>302-001893</v>
          </cell>
          <cell r="B562" t="str">
            <v>99-001893</v>
          </cell>
        </row>
        <row r="563">
          <cell r="A563" t="str">
            <v>302-001894</v>
          </cell>
          <cell r="B563" t="str">
            <v>99-001894</v>
          </cell>
        </row>
        <row r="564">
          <cell r="A564" t="str">
            <v>302-001899</v>
          </cell>
          <cell r="B564" t="str">
            <v>99-001899</v>
          </cell>
        </row>
        <row r="565">
          <cell r="A565" t="str">
            <v>302-001907</v>
          </cell>
          <cell r="B565" t="str">
            <v>99-000737</v>
          </cell>
        </row>
        <row r="566">
          <cell r="A566" t="str">
            <v>302-001909</v>
          </cell>
          <cell r="B566" t="str">
            <v>99-001349</v>
          </cell>
        </row>
        <row r="567">
          <cell r="A567" t="str">
            <v>302-001913</v>
          </cell>
          <cell r="B567" t="str">
            <v>99-001913</v>
          </cell>
        </row>
        <row r="568">
          <cell r="A568" t="str">
            <v>302-001914</v>
          </cell>
          <cell r="B568" t="str">
            <v>302-001914</v>
          </cell>
        </row>
        <row r="569">
          <cell r="A569" t="str">
            <v>302-001915</v>
          </cell>
          <cell r="B569" t="str">
            <v>99-001915</v>
          </cell>
        </row>
        <row r="570">
          <cell r="A570" t="str">
            <v>302-001916</v>
          </cell>
          <cell r="B570" t="str">
            <v>99-001916</v>
          </cell>
        </row>
        <row r="571">
          <cell r="A571" t="str">
            <v>302-001943</v>
          </cell>
          <cell r="B571" t="str">
            <v>99-001354</v>
          </cell>
        </row>
        <row r="572">
          <cell r="A572" t="str">
            <v>302-001944</v>
          </cell>
          <cell r="B572" t="str">
            <v>302-001944</v>
          </cell>
        </row>
        <row r="573">
          <cell r="A573" t="str">
            <v>302-001945</v>
          </cell>
          <cell r="B573" t="str">
            <v>302-001945</v>
          </cell>
        </row>
        <row r="574">
          <cell r="A574" t="str">
            <v>302-001959</v>
          </cell>
          <cell r="B574" t="str">
            <v>302-001959</v>
          </cell>
        </row>
        <row r="575">
          <cell r="A575" t="str">
            <v>302-001971</v>
          </cell>
          <cell r="B575" t="str">
            <v>302-001971</v>
          </cell>
        </row>
        <row r="576">
          <cell r="A576" t="str">
            <v>302-001975</v>
          </cell>
          <cell r="B576" t="str">
            <v>99-002442</v>
          </cell>
        </row>
        <row r="577">
          <cell r="A577" t="str">
            <v>302-001977</v>
          </cell>
          <cell r="B577" t="str">
            <v>99-001977</v>
          </cell>
        </row>
        <row r="578">
          <cell r="A578" t="str">
            <v>302-001996</v>
          </cell>
          <cell r="B578" t="str">
            <v>99-001019</v>
          </cell>
        </row>
        <row r="579">
          <cell r="A579" t="str">
            <v>302-002021</v>
          </cell>
          <cell r="B579" t="str">
            <v>302-002021</v>
          </cell>
        </row>
        <row r="580">
          <cell r="A580" t="str">
            <v>302-002023</v>
          </cell>
          <cell r="B580" t="str">
            <v>302-002023</v>
          </cell>
        </row>
        <row r="581">
          <cell r="A581" t="str">
            <v>302-002024</v>
          </cell>
          <cell r="B581" t="str">
            <v>99-002442</v>
          </cell>
        </row>
        <row r="582">
          <cell r="A582" t="str">
            <v>302-002025</v>
          </cell>
          <cell r="B582" t="str">
            <v>99-001842</v>
          </cell>
        </row>
        <row r="583">
          <cell r="A583" t="str">
            <v>302-002026</v>
          </cell>
          <cell r="B583" t="str">
            <v>302-002026</v>
          </cell>
        </row>
        <row r="584">
          <cell r="A584" t="str">
            <v>302-002027</v>
          </cell>
          <cell r="B584" t="str">
            <v>302-002027</v>
          </cell>
        </row>
        <row r="585">
          <cell r="A585" t="str">
            <v>302-002030</v>
          </cell>
          <cell r="B585" t="str">
            <v>99-000712</v>
          </cell>
        </row>
        <row r="586">
          <cell r="A586" t="str">
            <v>302-002031</v>
          </cell>
          <cell r="B586" t="str">
            <v>99-000711</v>
          </cell>
        </row>
        <row r="587">
          <cell r="A587" t="str">
            <v>302-002032</v>
          </cell>
          <cell r="B587" t="str">
            <v>99-000704</v>
          </cell>
        </row>
        <row r="588">
          <cell r="A588" t="str">
            <v>302-002033</v>
          </cell>
          <cell r="B588" t="str">
            <v>99-000706</v>
          </cell>
        </row>
        <row r="589">
          <cell r="A589" t="str">
            <v>302-002036</v>
          </cell>
          <cell r="B589" t="str">
            <v>99-003125</v>
          </cell>
        </row>
        <row r="590">
          <cell r="A590" t="str">
            <v>302-002037</v>
          </cell>
          <cell r="B590" t="str">
            <v>302-002037</v>
          </cell>
        </row>
        <row r="591">
          <cell r="A591" t="str">
            <v>302-002041</v>
          </cell>
          <cell r="B591" t="str">
            <v>99-001163</v>
          </cell>
        </row>
        <row r="592">
          <cell r="A592" t="str">
            <v>302-002047</v>
          </cell>
          <cell r="B592" t="str">
            <v>99-001514</v>
          </cell>
        </row>
        <row r="593">
          <cell r="A593" t="str">
            <v>302-002048</v>
          </cell>
          <cell r="B593" t="str">
            <v>99-001042</v>
          </cell>
        </row>
        <row r="594">
          <cell r="A594" t="str">
            <v>302-002049</v>
          </cell>
          <cell r="B594" t="str">
            <v>99-001043</v>
          </cell>
        </row>
        <row r="595">
          <cell r="A595" t="str">
            <v>302-002051</v>
          </cell>
          <cell r="B595" t="str">
            <v>99-004046</v>
          </cell>
        </row>
        <row r="596">
          <cell r="A596" t="str">
            <v>302-002053</v>
          </cell>
          <cell r="B596" t="str">
            <v>88-002053</v>
          </cell>
        </row>
        <row r="597">
          <cell r="A597" t="str">
            <v>302-002054</v>
          </cell>
          <cell r="B597" t="str">
            <v>99-001049</v>
          </cell>
        </row>
        <row r="598">
          <cell r="A598" t="str">
            <v>302-002058</v>
          </cell>
          <cell r="B598" t="str">
            <v>302-002058</v>
          </cell>
        </row>
        <row r="599">
          <cell r="A599" t="str">
            <v>302-002060</v>
          </cell>
          <cell r="B599" t="str">
            <v>99-000737</v>
          </cell>
        </row>
        <row r="600">
          <cell r="A600" t="str">
            <v>302-002061</v>
          </cell>
          <cell r="B600" t="str">
            <v>99-000899</v>
          </cell>
        </row>
        <row r="601">
          <cell r="A601" t="str">
            <v>302-002062</v>
          </cell>
          <cell r="B601" t="str">
            <v>99-002062</v>
          </cell>
        </row>
        <row r="602">
          <cell r="A602" t="str">
            <v>302-002078</v>
          </cell>
          <cell r="B602" t="str">
            <v>99-001346</v>
          </cell>
        </row>
        <row r="603">
          <cell r="A603" t="str">
            <v>302-002079</v>
          </cell>
          <cell r="B603" t="str">
            <v>99-002079</v>
          </cell>
        </row>
        <row r="604">
          <cell r="A604" t="str">
            <v>302-002080</v>
          </cell>
          <cell r="B604" t="str">
            <v>99-002080</v>
          </cell>
        </row>
        <row r="605">
          <cell r="A605" t="str">
            <v>302-002081</v>
          </cell>
          <cell r="B605" t="str">
            <v>99-002081</v>
          </cell>
        </row>
        <row r="606">
          <cell r="A606" t="str">
            <v>302-002083</v>
          </cell>
          <cell r="B606" t="str">
            <v>99-001121</v>
          </cell>
        </row>
        <row r="607">
          <cell r="A607" t="str">
            <v>302-002084</v>
          </cell>
          <cell r="B607" t="str">
            <v>99-002084</v>
          </cell>
        </row>
        <row r="608">
          <cell r="A608" t="str">
            <v>302-002085</v>
          </cell>
          <cell r="B608" t="str">
            <v>99-000864</v>
          </cell>
        </row>
        <row r="609">
          <cell r="A609" t="str">
            <v>302-002086</v>
          </cell>
          <cell r="B609" t="str">
            <v>99-002086</v>
          </cell>
        </row>
        <row r="610">
          <cell r="A610" t="str">
            <v>302-002087</v>
          </cell>
          <cell r="B610" t="str">
            <v>302-002087</v>
          </cell>
        </row>
        <row r="611">
          <cell r="A611" t="str">
            <v>302-002090</v>
          </cell>
          <cell r="B611" t="str">
            <v>99-000864</v>
          </cell>
        </row>
        <row r="612">
          <cell r="A612" t="str">
            <v>302-002091</v>
          </cell>
          <cell r="B612" t="str">
            <v>99-002091</v>
          </cell>
        </row>
        <row r="613">
          <cell r="A613" t="str">
            <v>302-002092</v>
          </cell>
          <cell r="B613" t="str">
            <v>99-001349</v>
          </cell>
        </row>
        <row r="614">
          <cell r="A614" t="str">
            <v>302-002093</v>
          </cell>
          <cell r="B614" t="str">
            <v>99-001163</v>
          </cell>
        </row>
        <row r="615">
          <cell r="A615" t="str">
            <v>302-002094</v>
          </cell>
          <cell r="B615" t="str">
            <v>302-002094</v>
          </cell>
        </row>
        <row r="616">
          <cell r="A616" t="str">
            <v>302-002096</v>
          </cell>
          <cell r="B616" t="str">
            <v>302-002096</v>
          </cell>
        </row>
        <row r="617">
          <cell r="A617" t="str">
            <v>302-002100</v>
          </cell>
          <cell r="B617" t="str">
            <v>302-002100</v>
          </cell>
        </row>
        <row r="618">
          <cell r="A618" t="str">
            <v>302-002101</v>
          </cell>
          <cell r="B618" t="str">
            <v>99-001866</v>
          </cell>
        </row>
        <row r="619">
          <cell r="A619" t="str">
            <v>302-002102</v>
          </cell>
          <cell r="B619" t="str">
            <v>99-002102</v>
          </cell>
        </row>
        <row r="620">
          <cell r="A620" t="str">
            <v>302-002104</v>
          </cell>
          <cell r="B620" t="str">
            <v>99-002104</v>
          </cell>
        </row>
        <row r="621">
          <cell r="A621" t="str">
            <v>302-002105</v>
          </cell>
          <cell r="B621" t="str">
            <v>99-002105</v>
          </cell>
        </row>
        <row r="622">
          <cell r="A622" t="str">
            <v>302-002106</v>
          </cell>
          <cell r="B622" t="str">
            <v>99-001400</v>
          </cell>
        </row>
        <row r="623">
          <cell r="A623" t="str">
            <v>302-002107</v>
          </cell>
          <cell r="B623" t="str">
            <v>99-000864</v>
          </cell>
        </row>
        <row r="624">
          <cell r="A624" t="str">
            <v>302-002108</v>
          </cell>
          <cell r="B624" t="str">
            <v>99-002108</v>
          </cell>
        </row>
        <row r="625">
          <cell r="A625" t="str">
            <v>302-002109</v>
          </cell>
          <cell r="B625" t="str">
            <v>302-002109</v>
          </cell>
        </row>
        <row r="626">
          <cell r="A626" t="str">
            <v>302-002110</v>
          </cell>
          <cell r="B626" t="str">
            <v>302-002110</v>
          </cell>
        </row>
        <row r="627">
          <cell r="A627" t="str">
            <v>302-002111</v>
          </cell>
          <cell r="B627" t="str">
            <v>302-002111</v>
          </cell>
        </row>
        <row r="628">
          <cell r="A628" t="str">
            <v>302-002114</v>
          </cell>
          <cell r="B628" t="str">
            <v>99-002114</v>
          </cell>
        </row>
        <row r="629">
          <cell r="A629" t="str">
            <v>302-002115</v>
          </cell>
          <cell r="B629" t="str">
            <v>99-002114</v>
          </cell>
        </row>
        <row r="630">
          <cell r="A630" t="str">
            <v>302-002116</v>
          </cell>
          <cell r="B630" t="str">
            <v>99-001187</v>
          </cell>
        </row>
        <row r="631">
          <cell r="A631" t="str">
            <v>302-002118</v>
          </cell>
          <cell r="B631" t="str">
            <v>302-002118</v>
          </cell>
        </row>
        <row r="632">
          <cell r="A632" t="str">
            <v>302-002120</v>
          </cell>
          <cell r="B632" t="str">
            <v>302-002120</v>
          </cell>
        </row>
        <row r="633">
          <cell r="A633" t="str">
            <v>302-002121</v>
          </cell>
          <cell r="B633" t="str">
            <v>302-002121</v>
          </cell>
        </row>
        <row r="634">
          <cell r="A634" t="str">
            <v>302-002122</v>
          </cell>
          <cell r="B634" t="str">
            <v>302-002122</v>
          </cell>
        </row>
        <row r="635">
          <cell r="A635" t="str">
            <v>302-002123</v>
          </cell>
          <cell r="B635" t="str">
            <v>302-002123</v>
          </cell>
        </row>
        <row r="636">
          <cell r="A636" t="str">
            <v>302-002128</v>
          </cell>
          <cell r="B636" t="str">
            <v>302-002128</v>
          </cell>
        </row>
        <row r="637">
          <cell r="A637" t="str">
            <v>302-002129</v>
          </cell>
          <cell r="B637" t="str">
            <v>302-002129</v>
          </cell>
        </row>
        <row r="638">
          <cell r="A638" t="str">
            <v>302-002130</v>
          </cell>
          <cell r="B638" t="str">
            <v>302-002130</v>
          </cell>
        </row>
        <row r="639">
          <cell r="A639" t="str">
            <v>302-002131</v>
          </cell>
          <cell r="B639" t="str">
            <v>99-002131</v>
          </cell>
        </row>
        <row r="640">
          <cell r="A640" t="str">
            <v>302-002155</v>
          </cell>
          <cell r="B640" t="str">
            <v>99-000311</v>
          </cell>
        </row>
        <row r="641">
          <cell r="A641" t="str">
            <v>302-002156</v>
          </cell>
          <cell r="B641" t="str">
            <v>99-000259</v>
          </cell>
        </row>
        <row r="642">
          <cell r="A642" t="str">
            <v>302-002158</v>
          </cell>
          <cell r="B642" t="str">
            <v>99-001778</v>
          </cell>
        </row>
        <row r="643">
          <cell r="A643" t="str">
            <v>302-002164</v>
          </cell>
          <cell r="B643" t="str">
            <v>99-000380</v>
          </cell>
        </row>
        <row r="644">
          <cell r="A644" t="str">
            <v>302-002176</v>
          </cell>
          <cell r="B644" t="str">
            <v>99-000737</v>
          </cell>
        </row>
        <row r="645">
          <cell r="A645" t="str">
            <v>302-002242</v>
          </cell>
          <cell r="B645" t="str">
            <v>99-001036</v>
          </cell>
        </row>
        <row r="646">
          <cell r="A646" t="str">
            <v>302-002259</v>
          </cell>
          <cell r="B646" t="str">
            <v>99-000448</v>
          </cell>
        </row>
        <row r="647">
          <cell r="A647" t="str">
            <v>302-002317</v>
          </cell>
          <cell r="B647" t="str">
            <v>302-002317</v>
          </cell>
        </row>
        <row r="648">
          <cell r="A648" t="str">
            <v>302-002343</v>
          </cell>
          <cell r="B648" t="str">
            <v>99-000737</v>
          </cell>
        </row>
        <row r="649">
          <cell r="A649" t="str">
            <v>302-002346</v>
          </cell>
          <cell r="B649" t="str">
            <v>99-000711</v>
          </cell>
        </row>
        <row r="650">
          <cell r="A650" t="str">
            <v>302-002348</v>
          </cell>
          <cell r="B650" t="str">
            <v>99-000708</v>
          </cell>
        </row>
        <row r="651">
          <cell r="A651" t="str">
            <v>302-002354</v>
          </cell>
          <cell r="B651" t="str">
            <v>99-000134</v>
          </cell>
        </row>
        <row r="652">
          <cell r="A652" t="str">
            <v>302-002355</v>
          </cell>
          <cell r="B652" t="str">
            <v>99-001655</v>
          </cell>
        </row>
        <row r="653">
          <cell r="A653" t="str">
            <v>302-002356</v>
          </cell>
          <cell r="B653" t="str">
            <v>99-000142</v>
          </cell>
        </row>
        <row r="654">
          <cell r="A654" t="str">
            <v>302-002357</v>
          </cell>
          <cell r="B654" t="str">
            <v>99-000147</v>
          </cell>
        </row>
        <row r="655">
          <cell r="A655" t="str">
            <v>302-002360</v>
          </cell>
          <cell r="B655" t="str">
            <v>99-000448</v>
          </cell>
        </row>
        <row r="656">
          <cell r="A656" t="str">
            <v>302-002362</v>
          </cell>
          <cell r="B656" t="str">
            <v>99-000248</v>
          </cell>
        </row>
        <row r="657">
          <cell r="A657" t="str">
            <v>302-002364</v>
          </cell>
          <cell r="B657" t="str">
            <v>99-000247</v>
          </cell>
        </row>
        <row r="658">
          <cell r="A658" t="str">
            <v>302-002368</v>
          </cell>
          <cell r="B658" t="str">
            <v>99-000147</v>
          </cell>
        </row>
        <row r="659">
          <cell r="A659" t="str">
            <v>302-002379</v>
          </cell>
          <cell r="B659" t="str">
            <v>99-000147</v>
          </cell>
        </row>
        <row r="660">
          <cell r="A660" t="str">
            <v>302-002382</v>
          </cell>
          <cell r="B660" t="str">
            <v>99-002738</v>
          </cell>
        </row>
        <row r="661">
          <cell r="A661" t="str">
            <v>302-002386</v>
          </cell>
          <cell r="B661" t="str">
            <v>302-002386</v>
          </cell>
        </row>
        <row r="662">
          <cell r="A662" t="str">
            <v>302-002389</v>
          </cell>
          <cell r="B662" t="str">
            <v>302-002389</v>
          </cell>
        </row>
        <row r="663">
          <cell r="A663" t="str">
            <v>302-002396</v>
          </cell>
          <cell r="B663" t="str">
            <v>99-000712</v>
          </cell>
        </row>
        <row r="664">
          <cell r="A664" t="str">
            <v>302-002401</v>
          </cell>
          <cell r="B664" t="str">
            <v>99-002401</v>
          </cell>
        </row>
        <row r="665">
          <cell r="A665" t="str">
            <v>302-002403</v>
          </cell>
          <cell r="B665" t="str">
            <v>99-003024</v>
          </cell>
        </row>
        <row r="666">
          <cell r="A666" t="str">
            <v>302-002406</v>
          </cell>
          <cell r="B666" t="str">
            <v>99-002086</v>
          </cell>
        </row>
        <row r="667">
          <cell r="A667" t="str">
            <v>302-002407</v>
          </cell>
          <cell r="B667" t="str">
            <v>99-002079</v>
          </cell>
        </row>
        <row r="668">
          <cell r="A668" t="str">
            <v>302-002409</v>
          </cell>
          <cell r="B668" t="str">
            <v>302-002409</v>
          </cell>
        </row>
        <row r="669">
          <cell r="A669" t="str">
            <v>302-002416</v>
          </cell>
          <cell r="B669" t="str">
            <v>99-003769</v>
          </cell>
        </row>
        <row r="670">
          <cell r="A670" t="str">
            <v>302-002418</v>
          </cell>
          <cell r="B670" t="str">
            <v>302-002418</v>
          </cell>
        </row>
        <row r="671">
          <cell r="A671" t="str">
            <v>302-002419</v>
          </cell>
          <cell r="B671" t="str">
            <v>302-002419</v>
          </cell>
        </row>
        <row r="672">
          <cell r="A672" t="str">
            <v>302-002421</v>
          </cell>
          <cell r="B672" t="str">
            <v>302-002421</v>
          </cell>
        </row>
        <row r="673">
          <cell r="A673" t="str">
            <v>302-002428</v>
          </cell>
          <cell r="B673" t="str">
            <v>99-002428</v>
          </cell>
        </row>
        <row r="674">
          <cell r="A674" t="str">
            <v>302-002429</v>
          </cell>
          <cell r="B674" t="str">
            <v>302-002429</v>
          </cell>
        </row>
        <row r="675">
          <cell r="A675" t="str">
            <v>302-002430</v>
          </cell>
          <cell r="B675" t="str">
            <v>99-001043</v>
          </cell>
        </row>
        <row r="676">
          <cell r="A676" t="str">
            <v>302-002431</v>
          </cell>
          <cell r="B676" t="str">
            <v>99-000381</v>
          </cell>
        </row>
        <row r="677">
          <cell r="A677" t="str">
            <v>302-002432</v>
          </cell>
          <cell r="B677" t="str">
            <v>99-002432</v>
          </cell>
        </row>
        <row r="678">
          <cell r="A678" t="str">
            <v>302-002434</v>
          </cell>
          <cell r="B678" t="str">
            <v>99-001163</v>
          </cell>
        </row>
        <row r="679">
          <cell r="A679" t="str">
            <v>302-002442</v>
          </cell>
          <cell r="B679" t="str">
            <v>99-002442</v>
          </cell>
        </row>
        <row r="680">
          <cell r="A680" t="str">
            <v>302-002443</v>
          </cell>
          <cell r="B680" t="str">
            <v>99-001626</v>
          </cell>
        </row>
        <row r="681">
          <cell r="A681" t="str">
            <v>302-002448</v>
          </cell>
          <cell r="B681" t="str">
            <v>99-003021</v>
          </cell>
        </row>
        <row r="682">
          <cell r="A682" t="str">
            <v>302-002507</v>
          </cell>
          <cell r="B682" t="str">
            <v>302-002507</v>
          </cell>
        </row>
        <row r="683">
          <cell r="A683" t="str">
            <v>302-002510</v>
          </cell>
          <cell r="B683" t="str">
            <v>302-002510</v>
          </cell>
        </row>
        <row r="684">
          <cell r="A684" t="str">
            <v>302-002520</v>
          </cell>
          <cell r="B684" t="str">
            <v>99-002086</v>
          </cell>
        </row>
        <row r="685">
          <cell r="A685" t="str">
            <v>302-002533</v>
          </cell>
          <cell r="B685" t="str">
            <v>99-001042</v>
          </cell>
        </row>
        <row r="686">
          <cell r="A686" t="str">
            <v>302-002536</v>
          </cell>
          <cell r="B686" t="str">
            <v>99-001013</v>
          </cell>
        </row>
        <row r="687">
          <cell r="A687" t="str">
            <v>302-002538</v>
          </cell>
          <cell r="B687" t="str">
            <v>302-002538</v>
          </cell>
        </row>
        <row r="688">
          <cell r="A688" t="str">
            <v>302-002543</v>
          </cell>
          <cell r="B688" t="str">
            <v>99-000083</v>
          </cell>
        </row>
        <row r="689">
          <cell r="A689" t="str">
            <v>302-002547</v>
          </cell>
          <cell r="B689" t="str">
            <v>99-002547</v>
          </cell>
        </row>
        <row r="690">
          <cell r="A690" t="str">
            <v>302-002548</v>
          </cell>
          <cell r="B690" t="str">
            <v>99-001916</v>
          </cell>
        </row>
        <row r="691">
          <cell r="A691" t="str">
            <v>302-002549</v>
          </cell>
          <cell r="B691" t="str">
            <v>99-001913</v>
          </cell>
        </row>
        <row r="692">
          <cell r="A692" t="str">
            <v>302-002550</v>
          </cell>
          <cell r="B692" t="str">
            <v>99-001915</v>
          </cell>
        </row>
        <row r="693">
          <cell r="A693" t="str">
            <v>302-002551</v>
          </cell>
          <cell r="B693" t="str">
            <v>99-002843</v>
          </cell>
        </row>
        <row r="694">
          <cell r="A694" t="str">
            <v>302-002552</v>
          </cell>
          <cell r="B694" t="str">
            <v>302-002552</v>
          </cell>
        </row>
        <row r="695">
          <cell r="A695" t="str">
            <v>302-002553</v>
          </cell>
          <cell r="B695" t="str">
            <v>302-002553</v>
          </cell>
        </row>
        <row r="696">
          <cell r="A696" t="str">
            <v>302-002554</v>
          </cell>
          <cell r="B696" t="str">
            <v>302-002554</v>
          </cell>
        </row>
        <row r="697">
          <cell r="A697" t="str">
            <v>302-002572</v>
          </cell>
          <cell r="B697" t="str">
            <v>99-001042</v>
          </cell>
        </row>
        <row r="698">
          <cell r="A698" t="str">
            <v>302-002574</v>
          </cell>
          <cell r="B698" t="str">
            <v>99-001862</v>
          </cell>
        </row>
        <row r="699">
          <cell r="A699" t="str">
            <v>302-002576</v>
          </cell>
          <cell r="B699" t="str">
            <v>99-000707</v>
          </cell>
        </row>
        <row r="700">
          <cell r="A700" t="str">
            <v>302-002587</v>
          </cell>
          <cell r="B700" t="str">
            <v>88-000288</v>
          </cell>
        </row>
        <row r="701">
          <cell r="A701" t="str">
            <v>302-002588</v>
          </cell>
          <cell r="B701" t="str">
            <v>99-001875</v>
          </cell>
        </row>
        <row r="702">
          <cell r="A702" t="str">
            <v>302-002589</v>
          </cell>
          <cell r="B702" t="str">
            <v>302-002589</v>
          </cell>
        </row>
        <row r="703">
          <cell r="A703" t="str">
            <v>302-002591</v>
          </cell>
          <cell r="B703" t="str">
            <v>302-002591</v>
          </cell>
        </row>
        <row r="704">
          <cell r="A704" t="str">
            <v>302-002594</v>
          </cell>
          <cell r="B704" t="str">
            <v>99-001163</v>
          </cell>
        </row>
        <row r="705">
          <cell r="A705" t="str">
            <v>302-002595</v>
          </cell>
          <cell r="B705" t="str">
            <v>99-001041</v>
          </cell>
        </row>
        <row r="706">
          <cell r="A706" t="str">
            <v>302-002598</v>
          </cell>
          <cell r="B706" t="str">
            <v>99-001369</v>
          </cell>
        </row>
        <row r="707">
          <cell r="A707" t="str">
            <v>302-002599</v>
          </cell>
          <cell r="B707" t="str">
            <v>302-002599</v>
          </cell>
        </row>
        <row r="708">
          <cell r="A708" t="str">
            <v>302-002601</v>
          </cell>
          <cell r="B708" t="str">
            <v>302-002601</v>
          </cell>
        </row>
        <row r="709">
          <cell r="A709" t="str">
            <v>302-002602</v>
          </cell>
          <cell r="B709" t="str">
            <v>302-002602</v>
          </cell>
        </row>
        <row r="710">
          <cell r="A710" t="str">
            <v>302-002603</v>
          </cell>
          <cell r="B710" t="str">
            <v>302-002603</v>
          </cell>
        </row>
        <row r="711">
          <cell r="A711" t="str">
            <v>302-002605</v>
          </cell>
          <cell r="B711" t="str">
            <v>302-002605</v>
          </cell>
        </row>
        <row r="712">
          <cell r="A712" t="str">
            <v>302-002608</v>
          </cell>
          <cell r="B712" t="str">
            <v>302-002608</v>
          </cell>
        </row>
        <row r="713">
          <cell r="A713" t="str">
            <v>302-002609</v>
          </cell>
          <cell r="B713" t="str">
            <v>88-002609</v>
          </cell>
        </row>
        <row r="714">
          <cell r="A714" t="str">
            <v>302-002611</v>
          </cell>
          <cell r="B714" t="str">
            <v>99-001875</v>
          </cell>
        </row>
        <row r="715">
          <cell r="A715" t="str">
            <v>302-002612</v>
          </cell>
          <cell r="B715" t="str">
            <v>99-001705</v>
          </cell>
        </row>
        <row r="716">
          <cell r="A716" t="str">
            <v>302-002613</v>
          </cell>
          <cell r="B716" t="str">
            <v>99-001705</v>
          </cell>
        </row>
        <row r="717">
          <cell r="A717" t="str">
            <v>302-002617</v>
          </cell>
          <cell r="B717" t="str">
            <v>302-002617</v>
          </cell>
        </row>
        <row r="718">
          <cell r="A718" t="str">
            <v>302-002623</v>
          </cell>
          <cell r="B718" t="str">
            <v>99-000491</v>
          </cell>
        </row>
        <row r="719">
          <cell r="A719" t="str">
            <v>302-002624</v>
          </cell>
          <cell r="B719" t="str">
            <v>99-000717</v>
          </cell>
        </row>
        <row r="720">
          <cell r="A720" t="str">
            <v>302-002625</v>
          </cell>
          <cell r="B720" t="str">
            <v>302-002625</v>
          </cell>
        </row>
        <row r="721">
          <cell r="A721" t="str">
            <v>302-002626</v>
          </cell>
          <cell r="B721" t="str">
            <v>302-002626</v>
          </cell>
        </row>
        <row r="722">
          <cell r="A722" t="str">
            <v>302-002628</v>
          </cell>
          <cell r="B722" t="str">
            <v>99-001840</v>
          </cell>
        </row>
        <row r="723">
          <cell r="A723" t="str">
            <v>302-002630</v>
          </cell>
          <cell r="B723" t="str">
            <v>99-001820</v>
          </cell>
        </row>
        <row r="724">
          <cell r="A724" t="str">
            <v>302-002631</v>
          </cell>
          <cell r="B724" t="str">
            <v>99-000712</v>
          </cell>
        </row>
        <row r="725">
          <cell r="A725" t="str">
            <v>302-002632</v>
          </cell>
          <cell r="B725" t="str">
            <v>99-002632</v>
          </cell>
        </row>
        <row r="726">
          <cell r="A726" t="str">
            <v>302-002633</v>
          </cell>
          <cell r="B726" t="str">
            <v>302-002633</v>
          </cell>
        </row>
        <row r="727">
          <cell r="A727" t="str">
            <v>302-002634</v>
          </cell>
          <cell r="B727" t="str">
            <v>99-001004</v>
          </cell>
        </row>
        <row r="728">
          <cell r="A728" t="str">
            <v>302-002638</v>
          </cell>
          <cell r="B728" t="str">
            <v>99-001877</v>
          </cell>
        </row>
        <row r="729">
          <cell r="A729" t="str">
            <v>302-002639</v>
          </cell>
          <cell r="B729" t="str">
            <v>302-002639</v>
          </cell>
        </row>
        <row r="730">
          <cell r="A730" t="str">
            <v>302-002644</v>
          </cell>
          <cell r="B730" t="str">
            <v>302-002644</v>
          </cell>
        </row>
        <row r="731">
          <cell r="A731" t="str">
            <v>302-002648</v>
          </cell>
          <cell r="B731" t="str">
            <v>99-000381</v>
          </cell>
        </row>
        <row r="732">
          <cell r="A732" t="str">
            <v>302-002652</v>
          </cell>
          <cell r="B732" t="str">
            <v>99-002652</v>
          </cell>
        </row>
        <row r="733">
          <cell r="A733" t="str">
            <v>302-002654</v>
          </cell>
          <cell r="B733" t="str">
            <v>88-000288</v>
          </cell>
        </row>
        <row r="734">
          <cell r="A734" t="str">
            <v>302-002655</v>
          </cell>
          <cell r="B734" t="str">
            <v>99-002104</v>
          </cell>
        </row>
        <row r="735">
          <cell r="A735" t="str">
            <v>302-002656</v>
          </cell>
          <cell r="B735" t="str">
            <v>88-000288</v>
          </cell>
        </row>
        <row r="736">
          <cell r="A736" t="str">
            <v>302-002658</v>
          </cell>
          <cell r="B736" t="str">
            <v>99-002658</v>
          </cell>
        </row>
        <row r="737">
          <cell r="A737" t="str">
            <v>302-002659</v>
          </cell>
          <cell r="B737" t="str">
            <v>99-001078</v>
          </cell>
        </row>
        <row r="738">
          <cell r="A738" t="str">
            <v>302-002660</v>
          </cell>
          <cell r="B738" t="str">
            <v>88-002660</v>
          </cell>
        </row>
        <row r="739">
          <cell r="A739" t="str">
            <v>302-002664</v>
          </cell>
          <cell r="B739" t="str">
            <v>302-002664</v>
          </cell>
        </row>
        <row r="740">
          <cell r="A740" t="str">
            <v>302-002668</v>
          </cell>
          <cell r="B740" t="str">
            <v>302-002668</v>
          </cell>
        </row>
        <row r="741">
          <cell r="A741" t="str">
            <v>302-002669</v>
          </cell>
          <cell r="B741" t="str">
            <v>302-002669</v>
          </cell>
        </row>
        <row r="742">
          <cell r="A742" t="str">
            <v>302-002671</v>
          </cell>
          <cell r="B742" t="str">
            <v>302-002671</v>
          </cell>
        </row>
        <row r="743">
          <cell r="A743" t="str">
            <v>302-002673</v>
          </cell>
          <cell r="B743" t="str">
            <v>302-002673</v>
          </cell>
        </row>
        <row r="744">
          <cell r="A744" t="str">
            <v>302-002674</v>
          </cell>
          <cell r="B744" t="str">
            <v>302-002674</v>
          </cell>
        </row>
        <row r="745">
          <cell r="A745" t="str">
            <v>302-002675</v>
          </cell>
          <cell r="B745" t="str">
            <v>302-002675</v>
          </cell>
        </row>
        <row r="746">
          <cell r="A746" t="str">
            <v>302-002676</v>
          </cell>
          <cell r="B746" t="str">
            <v>302-002676</v>
          </cell>
        </row>
        <row r="747">
          <cell r="A747" t="str">
            <v>302-002678</v>
          </cell>
          <cell r="B747" t="str">
            <v>302-002678</v>
          </cell>
        </row>
        <row r="748">
          <cell r="A748" t="str">
            <v>302-002679</v>
          </cell>
          <cell r="B748" t="str">
            <v>302-002679</v>
          </cell>
        </row>
        <row r="749">
          <cell r="A749" t="str">
            <v>302-002681</v>
          </cell>
          <cell r="B749" t="str">
            <v>302-002681</v>
          </cell>
        </row>
        <row r="750">
          <cell r="A750" t="str">
            <v>302-002682</v>
          </cell>
          <cell r="B750" t="str">
            <v>302-002682</v>
          </cell>
        </row>
        <row r="751">
          <cell r="A751" t="str">
            <v>302-002683</v>
          </cell>
          <cell r="B751" t="str">
            <v>302-002683</v>
          </cell>
        </row>
        <row r="752">
          <cell r="A752" t="str">
            <v>302-002685</v>
          </cell>
          <cell r="B752" t="str">
            <v>302-002685</v>
          </cell>
        </row>
        <row r="753">
          <cell r="A753" t="str">
            <v>302-002686</v>
          </cell>
          <cell r="B753" t="str">
            <v>302-002686</v>
          </cell>
        </row>
        <row r="754">
          <cell r="A754" t="str">
            <v>302-002689</v>
          </cell>
          <cell r="B754" t="str">
            <v>88-002689</v>
          </cell>
        </row>
        <row r="755">
          <cell r="A755" t="str">
            <v>302-002691</v>
          </cell>
          <cell r="B755" t="str">
            <v>88-002691</v>
          </cell>
        </row>
        <row r="756">
          <cell r="A756" t="str">
            <v>302-002692</v>
          </cell>
          <cell r="B756" t="str">
            <v>88-002692</v>
          </cell>
        </row>
        <row r="757">
          <cell r="A757" t="str">
            <v>302-002694</v>
          </cell>
          <cell r="B757" t="str">
            <v>99-001670</v>
          </cell>
        </row>
        <row r="758">
          <cell r="A758" t="str">
            <v>302-002695</v>
          </cell>
          <cell r="B758" t="str">
            <v>99-002084</v>
          </cell>
        </row>
        <row r="759">
          <cell r="A759" t="str">
            <v>302-002696</v>
          </cell>
          <cell r="B759" t="str">
            <v>302-002696</v>
          </cell>
        </row>
        <row r="760">
          <cell r="A760" t="str">
            <v>302-002697</v>
          </cell>
          <cell r="B760" t="str">
            <v>302-002697</v>
          </cell>
        </row>
        <row r="761">
          <cell r="A761" t="str">
            <v>302-002698</v>
          </cell>
          <cell r="B761" t="str">
            <v>302-002698</v>
          </cell>
        </row>
        <row r="762">
          <cell r="A762" t="str">
            <v>302-002699</v>
          </cell>
          <cell r="B762" t="str">
            <v>99-003708</v>
          </cell>
        </row>
        <row r="763">
          <cell r="A763" t="str">
            <v>302-002701</v>
          </cell>
          <cell r="B763" t="str">
            <v>99-003060</v>
          </cell>
        </row>
        <row r="764">
          <cell r="A764" t="str">
            <v>302-002704</v>
          </cell>
          <cell r="B764" t="str">
            <v>302-002704</v>
          </cell>
        </row>
        <row r="765">
          <cell r="A765" t="str">
            <v>302-002705</v>
          </cell>
          <cell r="B765" t="str">
            <v>302-002705</v>
          </cell>
        </row>
        <row r="766">
          <cell r="A766" t="str">
            <v>302-002709</v>
          </cell>
          <cell r="B766" t="str">
            <v>99-002709</v>
          </cell>
        </row>
        <row r="767">
          <cell r="A767" t="str">
            <v>302-002710</v>
          </cell>
          <cell r="B767" t="str">
            <v>302-002710</v>
          </cell>
        </row>
        <row r="768">
          <cell r="A768" t="str">
            <v>302-002711</v>
          </cell>
          <cell r="B768" t="str">
            <v>302-002711</v>
          </cell>
        </row>
        <row r="769">
          <cell r="A769" t="str">
            <v>302-002712</v>
          </cell>
          <cell r="B769" t="str">
            <v>302-002712</v>
          </cell>
        </row>
        <row r="770">
          <cell r="A770" t="str">
            <v>302-002714</v>
          </cell>
          <cell r="B770" t="str">
            <v>302-002714</v>
          </cell>
        </row>
        <row r="771">
          <cell r="A771" t="str">
            <v>302-002715</v>
          </cell>
          <cell r="B771" t="str">
            <v>302-002715</v>
          </cell>
        </row>
        <row r="772">
          <cell r="A772" t="str">
            <v>302-002716</v>
          </cell>
          <cell r="B772" t="str">
            <v>99-002745</v>
          </cell>
        </row>
        <row r="773">
          <cell r="A773" t="str">
            <v>302-002717</v>
          </cell>
          <cell r="B773" t="str">
            <v>99-001655</v>
          </cell>
        </row>
        <row r="774">
          <cell r="A774" t="str">
            <v>302-002726</v>
          </cell>
          <cell r="B774" t="str">
            <v>99-003018</v>
          </cell>
        </row>
        <row r="775">
          <cell r="A775" t="str">
            <v>302-002728</v>
          </cell>
          <cell r="B775" t="str">
            <v>99-003021</v>
          </cell>
        </row>
        <row r="776">
          <cell r="A776" t="str">
            <v>302-002738</v>
          </cell>
          <cell r="B776" t="str">
            <v>99-002738</v>
          </cell>
        </row>
        <row r="777">
          <cell r="A777" t="str">
            <v>302-002745</v>
          </cell>
          <cell r="B777" t="str">
            <v>99-002745</v>
          </cell>
        </row>
        <row r="778">
          <cell r="A778" t="str">
            <v>302-002750</v>
          </cell>
          <cell r="B778" t="str">
            <v>302-002750</v>
          </cell>
        </row>
        <row r="779">
          <cell r="A779" t="str">
            <v>302-002753</v>
          </cell>
          <cell r="B779" t="str">
            <v>99-000707</v>
          </cell>
        </row>
        <row r="780">
          <cell r="A780" t="str">
            <v>302-002764</v>
          </cell>
          <cell r="B780" t="str">
            <v>99-000446</v>
          </cell>
        </row>
        <row r="781">
          <cell r="A781" t="str">
            <v>302-002767</v>
          </cell>
          <cell r="B781" t="str">
            <v>99-000447</v>
          </cell>
        </row>
        <row r="782">
          <cell r="A782" t="str">
            <v>302-002768</v>
          </cell>
          <cell r="B782" t="str">
            <v>302-002768</v>
          </cell>
        </row>
        <row r="783">
          <cell r="A783" t="str">
            <v>302-002783</v>
          </cell>
          <cell r="B783" t="str">
            <v>99-003021</v>
          </cell>
        </row>
        <row r="784">
          <cell r="A784" t="str">
            <v>302-002785</v>
          </cell>
          <cell r="B784" t="str">
            <v>99-000083</v>
          </cell>
        </row>
        <row r="785">
          <cell r="A785" t="str">
            <v>302-002786</v>
          </cell>
          <cell r="B785" t="str">
            <v>302-002786</v>
          </cell>
        </row>
        <row r="786">
          <cell r="A786" t="str">
            <v>302-002787</v>
          </cell>
          <cell r="B786" t="str">
            <v>99-000737</v>
          </cell>
        </row>
        <row r="787">
          <cell r="A787" t="str">
            <v>302-002792</v>
          </cell>
          <cell r="B787" t="str">
            <v>302-002792</v>
          </cell>
        </row>
        <row r="788">
          <cell r="A788" t="str">
            <v>302-002794</v>
          </cell>
          <cell r="B788" t="str">
            <v>99-002794</v>
          </cell>
        </row>
        <row r="789">
          <cell r="A789" t="str">
            <v>302-002795</v>
          </cell>
          <cell r="B789" t="str">
            <v>302-002795</v>
          </cell>
        </row>
        <row r="790">
          <cell r="A790" t="str">
            <v>302-002798</v>
          </cell>
          <cell r="B790" t="str">
            <v>88-002798</v>
          </cell>
        </row>
        <row r="791">
          <cell r="A791" t="str">
            <v>302-002813</v>
          </cell>
          <cell r="B791" t="str">
            <v>302-002813</v>
          </cell>
        </row>
        <row r="792">
          <cell r="A792" t="str">
            <v>302-002828</v>
          </cell>
          <cell r="B792" t="str">
            <v>302-002828</v>
          </cell>
        </row>
        <row r="793">
          <cell r="A793" t="str">
            <v>302-002842</v>
          </cell>
          <cell r="B793" t="str">
            <v>302-002842</v>
          </cell>
        </row>
        <row r="794">
          <cell r="A794" t="str">
            <v>302-002843</v>
          </cell>
          <cell r="B794" t="str">
            <v>99-002843</v>
          </cell>
        </row>
        <row r="795">
          <cell r="A795" t="str">
            <v>302-002844</v>
          </cell>
          <cell r="B795" t="str">
            <v>302-002844</v>
          </cell>
        </row>
        <row r="796">
          <cell r="A796" t="str">
            <v>302-002846</v>
          </cell>
          <cell r="B796" t="str">
            <v>302-002846</v>
          </cell>
        </row>
        <row r="797">
          <cell r="A797" t="str">
            <v>302-002856</v>
          </cell>
          <cell r="B797" t="str">
            <v>302-002856</v>
          </cell>
        </row>
        <row r="798">
          <cell r="A798" t="str">
            <v>302-002858</v>
          </cell>
          <cell r="B798" t="str">
            <v>302-002858</v>
          </cell>
        </row>
        <row r="799">
          <cell r="A799" t="str">
            <v>302-002859</v>
          </cell>
          <cell r="B799" t="str">
            <v>302-002859</v>
          </cell>
        </row>
        <row r="800">
          <cell r="A800" t="str">
            <v>302-002860</v>
          </cell>
          <cell r="B800" t="str">
            <v>302-002860</v>
          </cell>
        </row>
        <row r="801">
          <cell r="A801" t="str">
            <v>302-002867</v>
          </cell>
          <cell r="B801" t="str">
            <v>302-002867</v>
          </cell>
        </row>
        <row r="802">
          <cell r="A802" t="str">
            <v>302-002868</v>
          </cell>
          <cell r="B802" t="str">
            <v>302-002868</v>
          </cell>
        </row>
        <row r="803">
          <cell r="A803" t="str">
            <v>302-002869</v>
          </cell>
          <cell r="B803" t="str">
            <v>302-002869</v>
          </cell>
        </row>
        <row r="804">
          <cell r="A804" t="str">
            <v>302-002870</v>
          </cell>
          <cell r="B804" t="str">
            <v>302-002870</v>
          </cell>
        </row>
        <row r="805">
          <cell r="A805" t="str">
            <v>302-002873</v>
          </cell>
          <cell r="B805" t="str">
            <v>302-002873</v>
          </cell>
        </row>
        <row r="806">
          <cell r="A806" t="str">
            <v>302-002875</v>
          </cell>
          <cell r="B806" t="str">
            <v>302-002875</v>
          </cell>
        </row>
        <row r="807">
          <cell r="A807" t="str">
            <v>302-002876</v>
          </cell>
          <cell r="B807" t="str">
            <v>302-002876</v>
          </cell>
        </row>
        <row r="808">
          <cell r="A808" t="str">
            <v>302-002877</v>
          </cell>
          <cell r="B808" t="str">
            <v>302-002877</v>
          </cell>
        </row>
        <row r="809">
          <cell r="A809" t="str">
            <v>302-002878</v>
          </cell>
          <cell r="B809" t="str">
            <v>302-002878</v>
          </cell>
        </row>
        <row r="810">
          <cell r="A810" t="str">
            <v>302-002880</v>
          </cell>
          <cell r="B810" t="str">
            <v>99-002880</v>
          </cell>
        </row>
        <row r="811">
          <cell r="A811" t="str">
            <v>302-002893</v>
          </cell>
          <cell r="B811" t="str">
            <v>302-002893</v>
          </cell>
        </row>
        <row r="812">
          <cell r="A812" t="str">
            <v>302-002894</v>
          </cell>
          <cell r="B812" t="str">
            <v>302-002894</v>
          </cell>
        </row>
        <row r="813">
          <cell r="A813" t="str">
            <v>302-002895</v>
          </cell>
          <cell r="B813" t="str">
            <v>99-002895</v>
          </cell>
        </row>
        <row r="814">
          <cell r="A814" t="str">
            <v>302-002898</v>
          </cell>
          <cell r="B814" t="str">
            <v>302-002898</v>
          </cell>
        </row>
        <row r="815">
          <cell r="A815" t="str">
            <v>302-002905</v>
          </cell>
          <cell r="B815" t="str">
            <v>99-003134</v>
          </cell>
        </row>
        <row r="816">
          <cell r="A816" t="str">
            <v>302-002919</v>
          </cell>
          <cell r="B816" t="str">
            <v>99-000717</v>
          </cell>
        </row>
        <row r="817">
          <cell r="A817" t="str">
            <v>302-002920</v>
          </cell>
          <cell r="B817" t="str">
            <v>88-002609</v>
          </cell>
        </row>
        <row r="818">
          <cell r="A818" t="str">
            <v>302-002921</v>
          </cell>
          <cell r="B818" t="str">
            <v>99-000491</v>
          </cell>
        </row>
        <row r="819">
          <cell r="A819" t="str">
            <v>302-002924</v>
          </cell>
          <cell r="B819" t="str">
            <v>99-001840</v>
          </cell>
        </row>
        <row r="820">
          <cell r="A820" t="str">
            <v>302-002925</v>
          </cell>
          <cell r="B820" t="str">
            <v>99-001820</v>
          </cell>
        </row>
        <row r="821">
          <cell r="A821" t="str">
            <v>302-002933</v>
          </cell>
          <cell r="B821" t="str">
            <v>302-002933</v>
          </cell>
        </row>
        <row r="822">
          <cell r="A822" t="str">
            <v>302-002934</v>
          </cell>
          <cell r="B822" t="str">
            <v>99-000142</v>
          </cell>
        </row>
        <row r="823">
          <cell r="A823" t="str">
            <v>302-002939</v>
          </cell>
          <cell r="B823" t="str">
            <v>302-002939</v>
          </cell>
        </row>
        <row r="824">
          <cell r="A824" t="str">
            <v>302-002944</v>
          </cell>
          <cell r="B824" t="str">
            <v>302-002944</v>
          </cell>
        </row>
        <row r="825">
          <cell r="A825" t="str">
            <v>302-002945</v>
          </cell>
          <cell r="B825" t="str">
            <v>302-002945</v>
          </cell>
        </row>
        <row r="826">
          <cell r="A826" t="str">
            <v>302-002947</v>
          </cell>
          <cell r="B826" t="str">
            <v>302-002947</v>
          </cell>
        </row>
        <row r="827">
          <cell r="A827" t="str">
            <v>302-002948</v>
          </cell>
          <cell r="B827" t="str">
            <v>302-002948</v>
          </cell>
        </row>
        <row r="828">
          <cell r="A828" t="str">
            <v>302-002950</v>
          </cell>
          <cell r="B828" t="str">
            <v>302-002950</v>
          </cell>
        </row>
        <row r="829">
          <cell r="A829" t="str">
            <v>302-002951</v>
          </cell>
          <cell r="B829" t="str">
            <v>99-000864</v>
          </cell>
        </row>
        <row r="830">
          <cell r="A830" t="str">
            <v>302-002955</v>
          </cell>
          <cell r="B830" t="str">
            <v>302-002955</v>
          </cell>
        </row>
        <row r="831">
          <cell r="A831" t="str">
            <v>302-002956</v>
          </cell>
          <cell r="B831" t="str">
            <v>302-002956</v>
          </cell>
        </row>
        <row r="832">
          <cell r="A832" t="str">
            <v>302-002957</v>
          </cell>
          <cell r="B832" t="str">
            <v>302-002957</v>
          </cell>
        </row>
        <row r="833">
          <cell r="A833" t="str">
            <v>302-002958</v>
          </cell>
          <cell r="B833" t="str">
            <v>302-002958</v>
          </cell>
        </row>
        <row r="834">
          <cell r="A834" t="str">
            <v>302-002959</v>
          </cell>
          <cell r="B834" t="str">
            <v>302-002959</v>
          </cell>
        </row>
        <row r="835">
          <cell r="A835" t="str">
            <v>302-002960</v>
          </cell>
          <cell r="B835" t="str">
            <v>88-003200</v>
          </cell>
        </row>
        <row r="836">
          <cell r="A836" t="str">
            <v>302-002961</v>
          </cell>
          <cell r="B836" t="str">
            <v>302-002961</v>
          </cell>
        </row>
        <row r="837">
          <cell r="A837" t="str">
            <v>302-002962</v>
          </cell>
          <cell r="B837" t="str">
            <v>302-002962</v>
          </cell>
        </row>
        <row r="838">
          <cell r="A838" t="str">
            <v>302-002963</v>
          </cell>
          <cell r="B838" t="str">
            <v>99-002963</v>
          </cell>
        </row>
        <row r="839">
          <cell r="A839" t="str">
            <v>302-002964</v>
          </cell>
          <cell r="B839" t="str">
            <v>302-002964</v>
          </cell>
        </row>
        <row r="840">
          <cell r="A840" t="str">
            <v>302-002975</v>
          </cell>
          <cell r="B840" t="str">
            <v>302-002975</v>
          </cell>
        </row>
        <row r="841">
          <cell r="A841" t="str">
            <v>302-002976</v>
          </cell>
          <cell r="B841" t="str">
            <v>302-002976</v>
          </cell>
        </row>
        <row r="842">
          <cell r="A842" t="str">
            <v>302-002978</v>
          </cell>
          <cell r="B842" t="str">
            <v>99-000910</v>
          </cell>
        </row>
        <row r="843">
          <cell r="A843" t="str">
            <v>302-002980</v>
          </cell>
          <cell r="B843" t="str">
            <v>302-002980</v>
          </cell>
        </row>
        <row r="844">
          <cell r="A844" t="str">
            <v>302-003011</v>
          </cell>
          <cell r="B844" t="str">
            <v>302-003011</v>
          </cell>
        </row>
        <row r="845">
          <cell r="A845" t="str">
            <v>302-003012</v>
          </cell>
          <cell r="B845" t="str">
            <v>302-003012</v>
          </cell>
        </row>
        <row r="846">
          <cell r="A846" t="str">
            <v>302-003013</v>
          </cell>
          <cell r="B846" t="str">
            <v>99-000864</v>
          </cell>
        </row>
        <row r="847">
          <cell r="A847" t="str">
            <v>302-003015</v>
          </cell>
          <cell r="B847" t="str">
            <v>99-001655</v>
          </cell>
        </row>
        <row r="848">
          <cell r="A848" t="str">
            <v>302-003017</v>
          </cell>
          <cell r="B848" t="str">
            <v>302-003017</v>
          </cell>
        </row>
        <row r="849">
          <cell r="A849" t="str">
            <v>302-003018</v>
          </cell>
          <cell r="B849" t="str">
            <v>99-003018</v>
          </cell>
        </row>
        <row r="850">
          <cell r="A850" t="str">
            <v>302-003021</v>
          </cell>
          <cell r="B850" t="str">
            <v>99-003021</v>
          </cell>
        </row>
        <row r="851">
          <cell r="A851" t="str">
            <v>302-003024</v>
          </cell>
          <cell r="B851" t="str">
            <v>99-003024</v>
          </cell>
        </row>
        <row r="852">
          <cell r="A852" t="str">
            <v>302-003025</v>
          </cell>
          <cell r="B852" t="str">
            <v>99-002401</v>
          </cell>
        </row>
        <row r="853">
          <cell r="A853" t="str">
            <v>302-003026</v>
          </cell>
          <cell r="B853" t="str">
            <v>302-003026</v>
          </cell>
        </row>
        <row r="854">
          <cell r="A854" t="str">
            <v>302-003027</v>
          </cell>
          <cell r="B854" t="str">
            <v>302-003027</v>
          </cell>
        </row>
        <row r="855">
          <cell r="A855" t="str">
            <v>302-003028</v>
          </cell>
          <cell r="B855" t="str">
            <v>302-003028</v>
          </cell>
        </row>
        <row r="856">
          <cell r="A856" t="str">
            <v>302-003029</v>
          </cell>
          <cell r="B856" t="str">
            <v>88-000289</v>
          </cell>
        </row>
        <row r="857">
          <cell r="A857" t="str">
            <v>302-003030</v>
          </cell>
          <cell r="B857" t="str">
            <v>99-003030</v>
          </cell>
        </row>
        <row r="858">
          <cell r="A858" t="str">
            <v>302-003035</v>
          </cell>
          <cell r="B858" t="str">
            <v>99-003035</v>
          </cell>
        </row>
        <row r="859">
          <cell r="A859" t="str">
            <v>302-003036</v>
          </cell>
          <cell r="B859" t="str">
            <v>99-000381</v>
          </cell>
        </row>
        <row r="860">
          <cell r="A860" t="str">
            <v>302-003040</v>
          </cell>
          <cell r="B860" t="str">
            <v>99-000741</v>
          </cell>
        </row>
        <row r="861">
          <cell r="A861" t="str">
            <v>302-003042</v>
          </cell>
          <cell r="B861" t="str">
            <v>99-003042</v>
          </cell>
        </row>
        <row r="862">
          <cell r="A862" t="str">
            <v>302-003045</v>
          </cell>
          <cell r="B862" t="str">
            <v>99-000148</v>
          </cell>
        </row>
        <row r="863">
          <cell r="A863" t="str">
            <v>302-003054</v>
          </cell>
          <cell r="B863" t="str">
            <v>99-001163</v>
          </cell>
        </row>
        <row r="864">
          <cell r="A864" t="str">
            <v>302-003055</v>
          </cell>
          <cell r="B864" t="str">
            <v>99-002091</v>
          </cell>
        </row>
        <row r="865">
          <cell r="A865" t="str">
            <v>302-003057</v>
          </cell>
          <cell r="B865" t="str">
            <v>302-003057</v>
          </cell>
        </row>
        <row r="866">
          <cell r="A866" t="str">
            <v>302-003058</v>
          </cell>
          <cell r="B866" t="str">
            <v>302-003058</v>
          </cell>
        </row>
        <row r="867">
          <cell r="A867" t="str">
            <v>302-003060</v>
          </cell>
          <cell r="B867" t="str">
            <v>99-003060</v>
          </cell>
        </row>
        <row r="868">
          <cell r="A868" t="str">
            <v>302-003062</v>
          </cell>
          <cell r="B868" t="str">
            <v>99-003042</v>
          </cell>
        </row>
        <row r="869">
          <cell r="A869" t="str">
            <v>302-003064</v>
          </cell>
          <cell r="B869" t="str">
            <v>99-002079</v>
          </cell>
        </row>
        <row r="870">
          <cell r="A870" t="str">
            <v>302-003065</v>
          </cell>
          <cell r="B870" t="str">
            <v>99-002080</v>
          </cell>
        </row>
        <row r="871">
          <cell r="A871" t="str">
            <v>302-003067</v>
          </cell>
          <cell r="B871" t="str">
            <v>99-001121</v>
          </cell>
        </row>
        <row r="872">
          <cell r="A872" t="str">
            <v>302-003068</v>
          </cell>
          <cell r="B872" t="str">
            <v>99-003068</v>
          </cell>
        </row>
        <row r="873">
          <cell r="A873" t="str">
            <v>302-003072</v>
          </cell>
          <cell r="B873" t="str">
            <v>302-003072</v>
          </cell>
        </row>
        <row r="874">
          <cell r="A874" t="str">
            <v>302-003073</v>
          </cell>
          <cell r="B874" t="str">
            <v>302-003073</v>
          </cell>
        </row>
        <row r="875">
          <cell r="A875" t="str">
            <v>302-003074</v>
          </cell>
          <cell r="B875" t="str">
            <v>302-003074</v>
          </cell>
        </row>
        <row r="876">
          <cell r="A876" t="str">
            <v>302-003076</v>
          </cell>
          <cell r="B876" t="str">
            <v>302-003076</v>
          </cell>
        </row>
        <row r="877">
          <cell r="A877" t="str">
            <v>302-003077</v>
          </cell>
          <cell r="B877" t="str">
            <v>302-003077</v>
          </cell>
        </row>
        <row r="878">
          <cell r="A878" t="str">
            <v>302-003078</v>
          </cell>
          <cell r="B878" t="str">
            <v>302-003078</v>
          </cell>
        </row>
        <row r="879">
          <cell r="A879" t="str">
            <v>302-003079</v>
          </cell>
          <cell r="B879" t="str">
            <v>302-003079</v>
          </cell>
        </row>
        <row r="880">
          <cell r="A880" t="str">
            <v>302-003083</v>
          </cell>
          <cell r="B880" t="str">
            <v>302-003083</v>
          </cell>
        </row>
        <row r="881">
          <cell r="A881" t="str">
            <v>302-003092</v>
          </cell>
          <cell r="B881" t="str">
            <v>302-003092</v>
          </cell>
        </row>
        <row r="882">
          <cell r="A882" t="str">
            <v>302-003093</v>
          </cell>
          <cell r="B882" t="str">
            <v>302-003093</v>
          </cell>
        </row>
        <row r="883">
          <cell r="A883" t="str">
            <v>302-003103</v>
          </cell>
          <cell r="B883" t="str">
            <v>99-000134</v>
          </cell>
        </row>
        <row r="884">
          <cell r="A884" t="str">
            <v>302-003113</v>
          </cell>
          <cell r="B884" t="str">
            <v>99-000756</v>
          </cell>
        </row>
        <row r="885">
          <cell r="A885" t="str">
            <v>302-003121</v>
          </cell>
          <cell r="B885" t="str">
            <v>302-003121</v>
          </cell>
        </row>
        <row r="886">
          <cell r="A886" t="str">
            <v>302-003122</v>
          </cell>
          <cell r="B886" t="str">
            <v>302-003122</v>
          </cell>
        </row>
        <row r="887">
          <cell r="A887" t="str">
            <v>302-003123</v>
          </cell>
          <cell r="B887" t="str">
            <v>302-003123</v>
          </cell>
        </row>
        <row r="888">
          <cell r="A888" t="str">
            <v>302-003125</v>
          </cell>
          <cell r="B888" t="str">
            <v>99-003125</v>
          </cell>
        </row>
        <row r="889">
          <cell r="A889" t="str">
            <v>302-003126</v>
          </cell>
          <cell r="B889" t="str">
            <v>99-003126</v>
          </cell>
        </row>
        <row r="890">
          <cell r="A890" t="str">
            <v>302-003127</v>
          </cell>
          <cell r="B890" t="str">
            <v>302-003127</v>
          </cell>
        </row>
        <row r="891">
          <cell r="A891" t="str">
            <v>302-003128</v>
          </cell>
          <cell r="B891" t="str">
            <v>99-002442</v>
          </cell>
        </row>
        <row r="892">
          <cell r="A892" t="str">
            <v>302-003129</v>
          </cell>
          <cell r="B892" t="str">
            <v>99-003129</v>
          </cell>
        </row>
        <row r="893">
          <cell r="A893" t="str">
            <v>302-003131</v>
          </cell>
          <cell r="B893" t="str">
            <v>99-000381</v>
          </cell>
        </row>
        <row r="894">
          <cell r="A894" t="str">
            <v>302-003132</v>
          </cell>
          <cell r="B894" t="str">
            <v>99-000380</v>
          </cell>
        </row>
        <row r="895">
          <cell r="A895" t="str">
            <v>302-003134</v>
          </cell>
          <cell r="B895" t="str">
            <v>99-003134</v>
          </cell>
        </row>
        <row r="896">
          <cell r="A896" t="str">
            <v>302-003140</v>
          </cell>
          <cell r="B896" t="str">
            <v>99-003134</v>
          </cell>
        </row>
        <row r="897">
          <cell r="A897" t="str">
            <v>302-003142</v>
          </cell>
          <cell r="B897" t="str">
            <v>302-003142</v>
          </cell>
        </row>
        <row r="898">
          <cell r="A898" t="str">
            <v>302-003145</v>
          </cell>
          <cell r="B898" t="str">
            <v>88-000289</v>
          </cell>
        </row>
        <row r="899">
          <cell r="A899" t="str">
            <v>302-003146</v>
          </cell>
          <cell r="B899" t="str">
            <v>88-002660</v>
          </cell>
        </row>
        <row r="900">
          <cell r="A900" t="str">
            <v>302-003151</v>
          </cell>
          <cell r="B900" t="str">
            <v>99-003151</v>
          </cell>
        </row>
        <row r="901">
          <cell r="A901" t="str">
            <v>302-003156</v>
          </cell>
          <cell r="B901" t="str">
            <v>99-003397</v>
          </cell>
        </row>
        <row r="902">
          <cell r="A902" t="str">
            <v>302-003159</v>
          </cell>
          <cell r="B902" t="str">
            <v>99-000786</v>
          </cell>
        </row>
        <row r="903">
          <cell r="A903" t="str">
            <v>302-003160</v>
          </cell>
          <cell r="B903" t="str">
            <v>99-001802</v>
          </cell>
        </row>
        <row r="904">
          <cell r="A904" t="str">
            <v>302-003169</v>
          </cell>
          <cell r="B904" t="str">
            <v>99-000711</v>
          </cell>
        </row>
        <row r="905">
          <cell r="A905" t="str">
            <v>302-003170</v>
          </cell>
          <cell r="B905" t="str">
            <v>99-000381</v>
          </cell>
        </row>
        <row r="906">
          <cell r="A906" t="str">
            <v>302-003171</v>
          </cell>
          <cell r="B906" t="str">
            <v>99-000380</v>
          </cell>
        </row>
        <row r="907">
          <cell r="A907" t="str">
            <v>302-003172</v>
          </cell>
          <cell r="B907" t="str">
            <v>99-000083</v>
          </cell>
        </row>
        <row r="908">
          <cell r="A908" t="str">
            <v>302-003173</v>
          </cell>
          <cell r="B908" t="str">
            <v>99-001886</v>
          </cell>
        </row>
        <row r="909">
          <cell r="A909" t="str">
            <v>302-003174</v>
          </cell>
          <cell r="B909" t="str">
            <v>302-003174</v>
          </cell>
        </row>
        <row r="910">
          <cell r="A910" t="str">
            <v>302-003177</v>
          </cell>
          <cell r="B910" t="str">
            <v>99-001066</v>
          </cell>
        </row>
        <row r="911">
          <cell r="A911" t="str">
            <v>302-003183</v>
          </cell>
          <cell r="B911" t="str">
            <v>99-001894</v>
          </cell>
        </row>
        <row r="912">
          <cell r="A912" t="str">
            <v>302-003184</v>
          </cell>
          <cell r="B912" t="str">
            <v>99-001893</v>
          </cell>
        </row>
        <row r="913">
          <cell r="A913" t="str">
            <v>302-003185</v>
          </cell>
          <cell r="B913" t="str">
            <v>99-001882</v>
          </cell>
        </row>
        <row r="914">
          <cell r="A914" t="str">
            <v>302-003191</v>
          </cell>
          <cell r="B914" t="str">
            <v>99-000708</v>
          </cell>
        </row>
        <row r="915">
          <cell r="A915" t="str">
            <v>302-003198</v>
          </cell>
          <cell r="B915" t="str">
            <v>302-003198</v>
          </cell>
        </row>
        <row r="916">
          <cell r="A916" t="str">
            <v>302-003200</v>
          </cell>
          <cell r="B916" t="str">
            <v>88-003200</v>
          </cell>
        </row>
        <row r="917">
          <cell r="A917" t="str">
            <v>302-003213</v>
          </cell>
          <cell r="B917" t="str">
            <v>99-003338</v>
          </cell>
        </row>
        <row r="918">
          <cell r="A918" t="str">
            <v>302-003214</v>
          </cell>
          <cell r="B918" t="str">
            <v>99-002547</v>
          </cell>
        </row>
        <row r="919">
          <cell r="A919" t="str">
            <v>302-003215</v>
          </cell>
          <cell r="B919" t="str">
            <v>99-001862</v>
          </cell>
        </row>
        <row r="920">
          <cell r="A920" t="str">
            <v>302-003228</v>
          </cell>
          <cell r="B920" t="str">
            <v>302-003228</v>
          </cell>
        </row>
        <row r="921">
          <cell r="A921" t="str">
            <v>302-003229</v>
          </cell>
          <cell r="B921" t="str">
            <v>99-000134</v>
          </cell>
        </row>
        <row r="922">
          <cell r="A922" t="str">
            <v>302-003230</v>
          </cell>
          <cell r="B922" t="str">
            <v>302-003230</v>
          </cell>
        </row>
        <row r="923">
          <cell r="A923" t="str">
            <v>302-003231</v>
          </cell>
          <cell r="B923" t="str">
            <v>302-003231</v>
          </cell>
        </row>
        <row r="924">
          <cell r="A924" t="str">
            <v>302-003232</v>
          </cell>
          <cell r="B924" t="str">
            <v>302-003232</v>
          </cell>
        </row>
        <row r="925">
          <cell r="A925" t="str">
            <v>302-003233</v>
          </cell>
          <cell r="B925" t="str">
            <v>302-003233</v>
          </cell>
        </row>
        <row r="926">
          <cell r="A926" t="str">
            <v>302-003237</v>
          </cell>
          <cell r="B926" t="str">
            <v>99-003237</v>
          </cell>
        </row>
        <row r="927">
          <cell r="A927" t="str">
            <v>302-003240</v>
          </cell>
          <cell r="B927" t="str">
            <v>302-003240</v>
          </cell>
        </row>
        <row r="928">
          <cell r="A928" t="str">
            <v>302-003244</v>
          </cell>
          <cell r="B928" t="str">
            <v>302-003244</v>
          </cell>
        </row>
        <row r="929">
          <cell r="A929" t="str">
            <v>302-003245</v>
          </cell>
          <cell r="B929" t="str">
            <v>302-003245</v>
          </cell>
        </row>
        <row r="930">
          <cell r="A930" t="str">
            <v>302-003251</v>
          </cell>
          <cell r="B930" t="str">
            <v>99-003528</v>
          </cell>
        </row>
        <row r="931">
          <cell r="A931" t="str">
            <v>302-003262</v>
          </cell>
          <cell r="B931" t="str">
            <v>302-003262</v>
          </cell>
        </row>
        <row r="932">
          <cell r="A932" t="str">
            <v>302-003276</v>
          </cell>
          <cell r="B932" t="str">
            <v>302-003276</v>
          </cell>
        </row>
        <row r="933">
          <cell r="A933" t="str">
            <v>302-003287</v>
          </cell>
          <cell r="B933" t="str">
            <v>302-003287</v>
          </cell>
        </row>
        <row r="934">
          <cell r="A934" t="str">
            <v>302-003288</v>
          </cell>
          <cell r="B934" t="str">
            <v>99-003288</v>
          </cell>
        </row>
        <row r="935">
          <cell r="A935" t="str">
            <v>302-003289</v>
          </cell>
          <cell r="B935" t="str">
            <v>302-003289</v>
          </cell>
        </row>
        <row r="936">
          <cell r="A936" t="str">
            <v>302-003290</v>
          </cell>
          <cell r="B936" t="str">
            <v>99-002963</v>
          </cell>
        </row>
        <row r="937">
          <cell r="A937" t="str">
            <v>302-003291</v>
          </cell>
          <cell r="B937" t="str">
            <v>302-003291</v>
          </cell>
        </row>
        <row r="938">
          <cell r="A938" t="str">
            <v>302-003292</v>
          </cell>
          <cell r="B938" t="str">
            <v>99-003292</v>
          </cell>
        </row>
        <row r="939">
          <cell r="A939" t="str">
            <v>302-003293</v>
          </cell>
          <cell r="B939" t="str">
            <v>302-003293</v>
          </cell>
        </row>
        <row r="940">
          <cell r="A940" t="str">
            <v>302-003302</v>
          </cell>
          <cell r="B940" t="str">
            <v>99-003302</v>
          </cell>
        </row>
        <row r="941">
          <cell r="A941" t="str">
            <v>302-003303</v>
          </cell>
          <cell r="B941" t="str">
            <v>99-003303</v>
          </cell>
        </row>
        <row r="942">
          <cell r="A942" t="str">
            <v>302-003326</v>
          </cell>
          <cell r="B942" t="str">
            <v>302-003326</v>
          </cell>
        </row>
        <row r="943">
          <cell r="A943" t="str">
            <v>302-003334</v>
          </cell>
          <cell r="B943" t="str">
            <v>99-001714</v>
          </cell>
        </row>
        <row r="944">
          <cell r="A944" t="str">
            <v>302-003335</v>
          </cell>
          <cell r="B944" t="str">
            <v>302-003335</v>
          </cell>
        </row>
        <row r="945">
          <cell r="A945" t="str">
            <v>302-003338</v>
          </cell>
          <cell r="B945" t="str">
            <v>99-003338</v>
          </cell>
        </row>
        <row r="946">
          <cell r="A946" t="str">
            <v>302-003340</v>
          </cell>
          <cell r="B946" t="str">
            <v>99-000184</v>
          </cell>
        </row>
        <row r="947">
          <cell r="A947" t="str">
            <v>302-003346</v>
          </cell>
          <cell r="B947" t="str">
            <v>99-001843</v>
          </cell>
        </row>
        <row r="948">
          <cell r="A948" t="str">
            <v>302-003347</v>
          </cell>
          <cell r="B948" t="str">
            <v>302-003347</v>
          </cell>
        </row>
        <row r="949">
          <cell r="A949" t="str">
            <v>302-003348</v>
          </cell>
          <cell r="B949" t="str">
            <v>302-003348</v>
          </cell>
        </row>
        <row r="950">
          <cell r="A950" t="str">
            <v>302-003351</v>
          </cell>
          <cell r="B950" t="str">
            <v>302-003351</v>
          </cell>
        </row>
        <row r="951">
          <cell r="A951" t="str">
            <v>302-003358</v>
          </cell>
          <cell r="B951" t="str">
            <v>99-001655</v>
          </cell>
        </row>
        <row r="952">
          <cell r="A952" t="str">
            <v>302-003363</v>
          </cell>
          <cell r="B952" t="str">
            <v>99-001844</v>
          </cell>
        </row>
        <row r="953">
          <cell r="A953" t="str">
            <v>302-003366</v>
          </cell>
          <cell r="B953" t="str">
            <v>99-001627</v>
          </cell>
        </row>
        <row r="954">
          <cell r="A954" t="str">
            <v>302-003368</v>
          </cell>
          <cell r="B954" t="str">
            <v>99-001705</v>
          </cell>
        </row>
        <row r="955">
          <cell r="A955" t="str">
            <v>302-003372</v>
          </cell>
          <cell r="B955" t="str">
            <v>99-003372</v>
          </cell>
        </row>
        <row r="956">
          <cell r="A956" t="str">
            <v>302-003373</v>
          </cell>
          <cell r="B956" t="str">
            <v>302-003373</v>
          </cell>
        </row>
        <row r="957">
          <cell r="A957" t="str">
            <v>302-003374</v>
          </cell>
          <cell r="B957" t="str">
            <v>99-003129</v>
          </cell>
        </row>
        <row r="958">
          <cell r="A958" t="str">
            <v>302-003375</v>
          </cell>
          <cell r="B958" t="str">
            <v>99-003375</v>
          </cell>
        </row>
        <row r="959">
          <cell r="A959" t="str">
            <v>302-003376</v>
          </cell>
          <cell r="B959" t="str">
            <v>302-003376</v>
          </cell>
        </row>
        <row r="960">
          <cell r="A960" t="str">
            <v>302-003377</v>
          </cell>
          <cell r="B960" t="str">
            <v>302-003377</v>
          </cell>
        </row>
        <row r="961">
          <cell r="A961" t="str">
            <v>302-003380</v>
          </cell>
          <cell r="B961" t="str">
            <v>302-003380</v>
          </cell>
        </row>
        <row r="962">
          <cell r="A962" t="str">
            <v>302-003387</v>
          </cell>
          <cell r="B962" t="str">
            <v>99-000712</v>
          </cell>
        </row>
        <row r="963">
          <cell r="A963" t="str">
            <v>302-003388</v>
          </cell>
          <cell r="B963" t="str">
            <v>99-000175</v>
          </cell>
        </row>
        <row r="964">
          <cell r="A964" t="str">
            <v>302-003390</v>
          </cell>
          <cell r="B964" t="str">
            <v>302-003390</v>
          </cell>
        </row>
        <row r="965">
          <cell r="A965" t="str">
            <v>302-003391</v>
          </cell>
          <cell r="B965" t="str">
            <v>302-003391</v>
          </cell>
        </row>
        <row r="966">
          <cell r="A966" t="str">
            <v>302-003397</v>
          </cell>
          <cell r="B966" t="str">
            <v>99-003397</v>
          </cell>
        </row>
        <row r="967">
          <cell r="A967" t="str">
            <v>302-003402</v>
          </cell>
          <cell r="B967" t="str">
            <v>99-000083</v>
          </cell>
        </row>
        <row r="968">
          <cell r="A968" t="str">
            <v>302-003404</v>
          </cell>
          <cell r="B968" t="str">
            <v>99-003404</v>
          </cell>
        </row>
        <row r="969">
          <cell r="A969" t="str">
            <v>302-003411</v>
          </cell>
          <cell r="B969" t="str">
            <v>88-003411</v>
          </cell>
        </row>
        <row r="970">
          <cell r="A970" t="str">
            <v>302-003415</v>
          </cell>
          <cell r="B970" t="str">
            <v>302-003415</v>
          </cell>
        </row>
        <row r="971">
          <cell r="A971" t="str">
            <v>302-003423</v>
          </cell>
          <cell r="B971" t="str">
            <v>99-003126</v>
          </cell>
        </row>
        <row r="972">
          <cell r="A972" t="str">
            <v>302-003428</v>
          </cell>
          <cell r="B972" t="str">
            <v>302-003428</v>
          </cell>
        </row>
        <row r="973">
          <cell r="A973" t="str">
            <v>302-003431</v>
          </cell>
          <cell r="B973" t="str">
            <v>302-003431</v>
          </cell>
        </row>
        <row r="974">
          <cell r="A974" t="str">
            <v>302-003432</v>
          </cell>
          <cell r="B974" t="str">
            <v>302-003432</v>
          </cell>
        </row>
        <row r="975">
          <cell r="A975" t="str">
            <v>302-003435</v>
          </cell>
          <cell r="B975" t="str">
            <v>302-003435</v>
          </cell>
        </row>
        <row r="976">
          <cell r="A976" t="str">
            <v>302-003441</v>
          </cell>
          <cell r="B976" t="str">
            <v>99-001042</v>
          </cell>
        </row>
        <row r="977">
          <cell r="A977" t="str">
            <v>302-003445</v>
          </cell>
          <cell r="B977" t="str">
            <v>99-000448</v>
          </cell>
        </row>
        <row r="978">
          <cell r="A978" t="str">
            <v>302-003462</v>
          </cell>
          <cell r="B978" t="str">
            <v>99-001349</v>
          </cell>
        </row>
        <row r="979">
          <cell r="A979" t="str">
            <v>302-003470</v>
          </cell>
          <cell r="B979" t="str">
            <v>99-003470</v>
          </cell>
        </row>
        <row r="980">
          <cell r="A980" t="str">
            <v>302-003471</v>
          </cell>
          <cell r="B980" t="str">
            <v>99-003471</v>
          </cell>
        </row>
        <row r="981">
          <cell r="A981" t="str">
            <v>302-003472</v>
          </cell>
          <cell r="B981" t="str">
            <v>302-003472</v>
          </cell>
        </row>
        <row r="982">
          <cell r="A982" t="str">
            <v>302-003488</v>
          </cell>
          <cell r="B982" t="str">
            <v>302-003488</v>
          </cell>
        </row>
        <row r="983">
          <cell r="A983" t="str">
            <v>302-003494</v>
          </cell>
          <cell r="B983" t="str">
            <v>302-003494</v>
          </cell>
        </row>
        <row r="984">
          <cell r="A984" t="str">
            <v>302-003501</v>
          </cell>
          <cell r="B984" t="str">
            <v>99-003585</v>
          </cell>
        </row>
        <row r="985">
          <cell r="A985" t="str">
            <v>302-003502</v>
          </cell>
          <cell r="B985" t="str">
            <v>99-001400</v>
          </cell>
        </row>
        <row r="986">
          <cell r="A986" t="str">
            <v>302-003503</v>
          </cell>
          <cell r="B986" t="str">
            <v>99-000864</v>
          </cell>
        </row>
        <row r="987">
          <cell r="A987" t="str">
            <v>302-003520</v>
          </cell>
          <cell r="B987" t="str">
            <v>99-003302</v>
          </cell>
        </row>
        <row r="988">
          <cell r="A988" t="str">
            <v>302-003521</v>
          </cell>
          <cell r="B988" t="str">
            <v>99-003302</v>
          </cell>
        </row>
        <row r="989">
          <cell r="A989" t="str">
            <v>302-003522</v>
          </cell>
          <cell r="B989" t="str">
            <v>302-003522</v>
          </cell>
        </row>
        <row r="990">
          <cell r="A990" t="str">
            <v>302-003525</v>
          </cell>
          <cell r="B990" t="str">
            <v>99-003525</v>
          </cell>
        </row>
        <row r="991">
          <cell r="A991" t="str">
            <v>302-003528</v>
          </cell>
          <cell r="B991" t="str">
            <v>99-003528</v>
          </cell>
        </row>
        <row r="992">
          <cell r="A992" t="str">
            <v>302-003536</v>
          </cell>
          <cell r="B992" t="str">
            <v>99-001354</v>
          </cell>
        </row>
        <row r="993">
          <cell r="A993" t="str">
            <v>302-003537</v>
          </cell>
          <cell r="B993" t="str">
            <v>99-003537</v>
          </cell>
        </row>
        <row r="994">
          <cell r="A994" t="str">
            <v>302-003538</v>
          </cell>
          <cell r="B994" t="str">
            <v>99-003538</v>
          </cell>
        </row>
        <row r="995">
          <cell r="A995" t="str">
            <v>302-003542</v>
          </cell>
          <cell r="B995" t="str">
            <v>99-003404</v>
          </cell>
        </row>
        <row r="996">
          <cell r="A996" t="str">
            <v>302-003545</v>
          </cell>
          <cell r="B996" t="str">
            <v>99-003404</v>
          </cell>
        </row>
        <row r="997">
          <cell r="A997" t="str">
            <v>302-003546</v>
          </cell>
          <cell r="B997" t="str">
            <v>99-000910</v>
          </cell>
        </row>
        <row r="998">
          <cell r="A998" t="str">
            <v>302-003547</v>
          </cell>
          <cell r="B998" t="str">
            <v>99-000910</v>
          </cell>
        </row>
        <row r="999">
          <cell r="A999" t="str">
            <v>302-003548</v>
          </cell>
          <cell r="B999" t="str">
            <v>99-003303</v>
          </cell>
        </row>
        <row r="1000">
          <cell r="A1000" t="str">
            <v>302-003552</v>
          </cell>
          <cell r="B1000" t="str">
            <v>99-003647</v>
          </cell>
        </row>
        <row r="1001">
          <cell r="A1001" t="str">
            <v>302-003554</v>
          </cell>
          <cell r="B1001" t="str">
            <v>99-003525</v>
          </cell>
        </row>
        <row r="1002">
          <cell r="A1002" t="str">
            <v>302-003558</v>
          </cell>
          <cell r="B1002" t="str">
            <v>302-003558</v>
          </cell>
        </row>
        <row r="1003">
          <cell r="A1003" t="str">
            <v>302-003559</v>
          </cell>
          <cell r="B1003" t="str">
            <v>99-003030</v>
          </cell>
        </row>
        <row r="1004">
          <cell r="A1004" t="str">
            <v>302-003562</v>
          </cell>
          <cell r="B1004" t="str">
            <v>302-003562</v>
          </cell>
        </row>
        <row r="1005">
          <cell r="A1005" t="str">
            <v>302-003563</v>
          </cell>
          <cell r="B1005" t="str">
            <v>99-003167</v>
          </cell>
        </row>
        <row r="1006">
          <cell r="A1006" t="str">
            <v>302-003565</v>
          </cell>
          <cell r="B1006" t="str">
            <v>302-003565</v>
          </cell>
        </row>
        <row r="1007">
          <cell r="A1007" t="str">
            <v>302-003566</v>
          </cell>
          <cell r="B1007" t="str">
            <v>99-000686</v>
          </cell>
        </row>
        <row r="1008">
          <cell r="A1008" t="str">
            <v>302-003576</v>
          </cell>
          <cell r="B1008" t="str">
            <v>302-003576</v>
          </cell>
        </row>
        <row r="1009">
          <cell r="A1009" t="str">
            <v>302-003578</v>
          </cell>
          <cell r="B1009" t="str">
            <v>99-001039</v>
          </cell>
        </row>
        <row r="1010">
          <cell r="A1010" t="str">
            <v>302-003583</v>
          </cell>
          <cell r="B1010" t="str">
            <v>302-003583</v>
          </cell>
        </row>
        <row r="1011">
          <cell r="A1011" t="str">
            <v>302-003584</v>
          </cell>
          <cell r="B1011" t="str">
            <v>99-003584</v>
          </cell>
        </row>
        <row r="1012">
          <cell r="A1012" t="str">
            <v>302-003585</v>
          </cell>
          <cell r="B1012" t="str">
            <v>99-003585</v>
          </cell>
        </row>
        <row r="1013">
          <cell r="A1013" t="str">
            <v>302-003586</v>
          </cell>
          <cell r="B1013" t="str">
            <v>99-001655</v>
          </cell>
        </row>
        <row r="1014">
          <cell r="A1014" t="str">
            <v>302-003588</v>
          </cell>
          <cell r="B1014" t="str">
            <v>99-003644</v>
          </cell>
        </row>
        <row r="1015">
          <cell r="A1015" t="str">
            <v>302-003641</v>
          </cell>
          <cell r="B1015" t="str">
            <v>99-001349</v>
          </cell>
        </row>
        <row r="1016">
          <cell r="A1016" t="str">
            <v>302-003642</v>
          </cell>
          <cell r="B1016" t="str">
            <v>99-001354</v>
          </cell>
        </row>
        <row r="1017">
          <cell r="A1017" t="str">
            <v>302-003643</v>
          </cell>
          <cell r="B1017" t="str">
            <v>99-001346</v>
          </cell>
        </row>
        <row r="1018">
          <cell r="A1018" t="str">
            <v>302-003644</v>
          </cell>
          <cell r="B1018" t="str">
            <v>99-003644</v>
          </cell>
        </row>
        <row r="1019">
          <cell r="A1019" t="str">
            <v>302-003646</v>
          </cell>
          <cell r="B1019" t="str">
            <v>302-003646</v>
          </cell>
        </row>
        <row r="1020">
          <cell r="A1020" t="str">
            <v>302-003647</v>
          </cell>
          <cell r="B1020" t="str">
            <v>99-003647</v>
          </cell>
        </row>
        <row r="1021">
          <cell r="A1021" t="str">
            <v>302-003651</v>
          </cell>
          <cell r="B1021" t="str">
            <v>99-003404</v>
          </cell>
        </row>
        <row r="1022">
          <cell r="A1022" t="str">
            <v>302-003655</v>
          </cell>
          <cell r="B1022" t="str">
            <v>302-003655</v>
          </cell>
        </row>
        <row r="1023">
          <cell r="A1023" t="str">
            <v>302-003660</v>
          </cell>
          <cell r="B1023" t="str">
            <v>302-003660</v>
          </cell>
        </row>
        <row r="1024">
          <cell r="A1024" t="str">
            <v>302-003664</v>
          </cell>
          <cell r="B1024" t="str">
            <v>302-003664</v>
          </cell>
        </row>
        <row r="1025">
          <cell r="A1025" t="str">
            <v>302-003693</v>
          </cell>
          <cell r="B1025" t="str">
            <v>302-003693</v>
          </cell>
        </row>
        <row r="1026">
          <cell r="A1026" t="str">
            <v>302-003707</v>
          </cell>
          <cell r="B1026" t="str">
            <v>99-002084</v>
          </cell>
        </row>
        <row r="1027">
          <cell r="A1027" t="str">
            <v>302-003719</v>
          </cell>
          <cell r="B1027" t="str">
            <v>99-002062</v>
          </cell>
        </row>
        <row r="1028">
          <cell r="A1028" t="str">
            <v>302-003728</v>
          </cell>
          <cell r="B1028" t="str">
            <v>302-003728</v>
          </cell>
        </row>
        <row r="1029">
          <cell r="A1029" t="str">
            <v>302-003747</v>
          </cell>
          <cell r="B1029" t="str">
            <v>302-003747</v>
          </cell>
        </row>
        <row r="1030">
          <cell r="A1030" t="str">
            <v>302-003753</v>
          </cell>
          <cell r="B1030" t="str">
            <v>302-003753</v>
          </cell>
        </row>
        <row r="1031">
          <cell r="A1031" t="str">
            <v>302-003754</v>
          </cell>
          <cell r="B1031" t="str">
            <v>302-003754</v>
          </cell>
        </row>
        <row r="1032">
          <cell r="A1032" t="str">
            <v>302-003757</v>
          </cell>
          <cell r="B1032" t="str">
            <v>302-003757</v>
          </cell>
        </row>
        <row r="1033">
          <cell r="A1033" t="str">
            <v>302-003763</v>
          </cell>
          <cell r="B1033" t="str">
            <v>302-003763</v>
          </cell>
        </row>
        <row r="1034">
          <cell r="A1034" t="str">
            <v>302-003769</v>
          </cell>
          <cell r="B1034" t="str">
            <v>99-003769</v>
          </cell>
        </row>
        <row r="1035">
          <cell r="A1035" t="str">
            <v>302-003770</v>
          </cell>
          <cell r="B1035" t="str">
            <v>99-003770</v>
          </cell>
        </row>
        <row r="1036">
          <cell r="A1036" t="str">
            <v>302-003771</v>
          </cell>
          <cell r="B1036" t="str">
            <v>99-003771</v>
          </cell>
        </row>
        <row r="1037">
          <cell r="A1037" t="str">
            <v>302-003772</v>
          </cell>
          <cell r="B1037" t="str">
            <v>99-003772</v>
          </cell>
        </row>
        <row r="1038">
          <cell r="A1038" t="str">
            <v>302-003773</v>
          </cell>
          <cell r="B1038" t="str">
            <v>99-003288</v>
          </cell>
        </row>
        <row r="1039">
          <cell r="A1039" t="str">
            <v>302-003774</v>
          </cell>
          <cell r="B1039" t="str">
            <v>99-003774</v>
          </cell>
        </row>
        <row r="1040">
          <cell r="A1040" t="str">
            <v>302-003775</v>
          </cell>
          <cell r="B1040" t="str">
            <v>99-003775</v>
          </cell>
        </row>
        <row r="1041">
          <cell r="A1041" t="str">
            <v>302-003776</v>
          </cell>
          <cell r="B1041" t="str">
            <v>99-003776</v>
          </cell>
        </row>
        <row r="1042">
          <cell r="A1042" t="str">
            <v>302-003777</v>
          </cell>
          <cell r="B1042" t="str">
            <v>99-003777</v>
          </cell>
        </row>
        <row r="1043">
          <cell r="A1043" t="str">
            <v>302-003778</v>
          </cell>
          <cell r="B1043" t="str">
            <v>302-003778</v>
          </cell>
        </row>
        <row r="1044">
          <cell r="A1044" t="str">
            <v>302-003779</v>
          </cell>
          <cell r="B1044" t="str">
            <v>302-003779</v>
          </cell>
        </row>
        <row r="1045">
          <cell r="A1045" t="str">
            <v>302-003780</v>
          </cell>
          <cell r="B1045" t="str">
            <v>302-003780</v>
          </cell>
        </row>
        <row r="1046">
          <cell r="A1046" t="str">
            <v>302-003788</v>
          </cell>
          <cell r="B1046" t="str">
            <v>99-003875</v>
          </cell>
        </row>
        <row r="1047">
          <cell r="A1047" t="str">
            <v>302-003789</v>
          </cell>
          <cell r="B1047" t="str">
            <v>99-003538</v>
          </cell>
        </row>
        <row r="1048">
          <cell r="A1048" t="str">
            <v>302-003790</v>
          </cell>
          <cell r="B1048" t="str">
            <v>99-003790</v>
          </cell>
        </row>
        <row r="1049">
          <cell r="A1049" t="str">
            <v>302-003796</v>
          </cell>
          <cell r="B1049" t="str">
            <v>99-000448</v>
          </cell>
        </row>
        <row r="1050">
          <cell r="A1050" t="str">
            <v>302-003804</v>
          </cell>
          <cell r="B1050" t="str">
            <v>302-003804</v>
          </cell>
        </row>
        <row r="1051">
          <cell r="A1051" t="str">
            <v>302-003805</v>
          </cell>
          <cell r="B1051" t="str">
            <v>302-003805</v>
          </cell>
        </row>
        <row r="1052">
          <cell r="A1052" t="str">
            <v>302-003810</v>
          </cell>
          <cell r="B1052" t="str">
            <v>99-003302</v>
          </cell>
        </row>
        <row r="1053">
          <cell r="A1053" t="str">
            <v>302-003813</v>
          </cell>
          <cell r="B1053" t="str">
            <v>99-000899</v>
          </cell>
        </row>
        <row r="1054">
          <cell r="A1054" t="str">
            <v>302-003815</v>
          </cell>
          <cell r="B1054" t="str">
            <v>99-002062</v>
          </cell>
        </row>
        <row r="1055">
          <cell r="A1055" t="str">
            <v>302-003836</v>
          </cell>
          <cell r="B1055" t="str">
            <v>99-001043</v>
          </cell>
        </row>
        <row r="1056">
          <cell r="A1056" t="str">
            <v>302-003838</v>
          </cell>
          <cell r="B1056" t="str">
            <v>302-003838</v>
          </cell>
        </row>
        <row r="1057">
          <cell r="A1057" t="str">
            <v>302-003842</v>
          </cell>
          <cell r="B1057" t="str">
            <v>99-003842</v>
          </cell>
        </row>
        <row r="1058">
          <cell r="A1058" t="str">
            <v>302-003846</v>
          </cell>
          <cell r="B1058" t="str">
            <v>302-003846</v>
          </cell>
        </row>
        <row r="1059">
          <cell r="A1059" t="str">
            <v>302-003874</v>
          </cell>
          <cell r="B1059" t="str">
            <v>302-003874</v>
          </cell>
        </row>
        <row r="1060">
          <cell r="A1060" t="str">
            <v>302-003875</v>
          </cell>
          <cell r="B1060" t="str">
            <v>99-003875</v>
          </cell>
        </row>
        <row r="1061">
          <cell r="A1061" t="str">
            <v>302-003877</v>
          </cell>
          <cell r="B1061" t="str">
            <v>99-003538</v>
          </cell>
        </row>
        <row r="1062">
          <cell r="A1062" t="str">
            <v>302-003879</v>
          </cell>
          <cell r="B1062" t="str">
            <v>99-003404</v>
          </cell>
        </row>
        <row r="1063">
          <cell r="A1063" t="str">
            <v>302-003880</v>
          </cell>
          <cell r="B1063" t="str">
            <v>99-003537</v>
          </cell>
        </row>
        <row r="1064">
          <cell r="A1064" t="str">
            <v>302-003882</v>
          </cell>
          <cell r="B1064" t="str">
            <v>99-003018</v>
          </cell>
        </row>
        <row r="1065">
          <cell r="A1065" t="str">
            <v>302-003883</v>
          </cell>
          <cell r="B1065" t="str">
            <v>302-003883</v>
          </cell>
        </row>
        <row r="1066">
          <cell r="A1066" t="str">
            <v>302-003884</v>
          </cell>
          <cell r="B1066" t="str">
            <v>302-003884</v>
          </cell>
        </row>
        <row r="1067">
          <cell r="A1067" t="str">
            <v>302-003885</v>
          </cell>
          <cell r="B1067" t="str">
            <v>99-002442</v>
          </cell>
        </row>
        <row r="1068">
          <cell r="A1068" t="str">
            <v>302-003912</v>
          </cell>
          <cell r="B1068" t="str">
            <v>99-002709</v>
          </cell>
        </row>
        <row r="1069">
          <cell r="A1069" t="str">
            <v>302-003935</v>
          </cell>
          <cell r="B1069" t="str">
            <v>302-003935</v>
          </cell>
        </row>
        <row r="1070">
          <cell r="A1070" t="str">
            <v>302-003938</v>
          </cell>
          <cell r="B1070" t="str">
            <v>99-003938</v>
          </cell>
        </row>
        <row r="1071">
          <cell r="A1071" t="str">
            <v>302-003941</v>
          </cell>
          <cell r="B1071" t="str">
            <v>99-002709</v>
          </cell>
        </row>
        <row r="1072">
          <cell r="A1072" t="str">
            <v>302-003954</v>
          </cell>
          <cell r="B1072" t="str">
            <v>99-003954</v>
          </cell>
        </row>
        <row r="1073">
          <cell r="A1073" t="str">
            <v>302-003958</v>
          </cell>
          <cell r="B1073" t="str">
            <v>99-001883</v>
          </cell>
        </row>
        <row r="1074">
          <cell r="A1074" t="str">
            <v>302-003962</v>
          </cell>
          <cell r="B1074" t="str">
            <v>302-003962</v>
          </cell>
        </row>
        <row r="1075">
          <cell r="A1075" t="str">
            <v>302-003969</v>
          </cell>
          <cell r="B1075" t="str">
            <v>302-003969</v>
          </cell>
        </row>
        <row r="1076">
          <cell r="A1076" t="str">
            <v>302-003987</v>
          </cell>
          <cell r="B1076" t="str">
            <v>99-000448</v>
          </cell>
        </row>
        <row r="1077">
          <cell r="A1077" t="str">
            <v>302-003989</v>
          </cell>
          <cell r="B1077" t="str">
            <v>99-003731</v>
          </cell>
        </row>
        <row r="1078">
          <cell r="A1078" t="str">
            <v>302-003990</v>
          </cell>
          <cell r="B1078" t="str">
            <v>302-003990</v>
          </cell>
        </row>
        <row r="1079">
          <cell r="A1079" t="str">
            <v>302-003991</v>
          </cell>
          <cell r="B1079" t="str">
            <v>302-003991</v>
          </cell>
        </row>
        <row r="1080">
          <cell r="A1080" t="str">
            <v>302-003997</v>
          </cell>
          <cell r="B1080" t="str">
            <v>99-003585</v>
          </cell>
        </row>
        <row r="1081">
          <cell r="A1081" t="str">
            <v>302-004005</v>
          </cell>
          <cell r="B1081" t="str">
            <v>302-004005</v>
          </cell>
        </row>
        <row r="1082">
          <cell r="A1082" t="str">
            <v>302-004010</v>
          </cell>
          <cell r="B1082" t="str">
            <v>302-004010</v>
          </cell>
        </row>
        <row r="1083">
          <cell r="A1083" t="str">
            <v>302-004014</v>
          </cell>
          <cell r="B1083" t="str">
            <v>99-003288</v>
          </cell>
        </row>
        <row r="1084">
          <cell r="A1084" t="str">
            <v>302-004015</v>
          </cell>
          <cell r="B1084" t="str">
            <v>302-004015</v>
          </cell>
        </row>
        <row r="1085">
          <cell r="A1085" t="str">
            <v>302-004020</v>
          </cell>
          <cell r="B1085" t="str">
            <v>99-002131</v>
          </cell>
        </row>
        <row r="1086">
          <cell r="A1086" t="str">
            <v>302-004035</v>
          </cell>
          <cell r="B1086" t="str">
            <v>302-004035</v>
          </cell>
        </row>
        <row r="1087">
          <cell r="A1087" t="str">
            <v>302-004036</v>
          </cell>
          <cell r="B1087" t="str">
            <v>99-003030</v>
          </cell>
        </row>
        <row r="1088">
          <cell r="A1088" t="str">
            <v>302-004040</v>
          </cell>
          <cell r="B1088" t="str">
            <v>99-001627</v>
          </cell>
        </row>
        <row r="1089">
          <cell r="A1089" t="str">
            <v>302-004041</v>
          </cell>
          <cell r="B1089" t="str">
            <v>302-004041</v>
          </cell>
        </row>
        <row r="1090">
          <cell r="A1090" t="str">
            <v>302-004042</v>
          </cell>
          <cell r="B1090" t="str">
            <v>99-001043</v>
          </cell>
        </row>
        <row r="1091">
          <cell r="A1091" t="str">
            <v>302-004044</v>
          </cell>
          <cell r="B1091" t="str">
            <v>99-001049</v>
          </cell>
        </row>
        <row r="1092">
          <cell r="A1092" t="str">
            <v>302-004052</v>
          </cell>
          <cell r="B1092" t="str">
            <v>99-003840</v>
          </cell>
        </row>
        <row r="1093">
          <cell r="A1093" t="str">
            <v>302-004054</v>
          </cell>
          <cell r="B1093" t="str">
            <v>99-003840</v>
          </cell>
        </row>
        <row r="1094">
          <cell r="A1094" t="str">
            <v>302-004055</v>
          </cell>
          <cell r="B1094" t="str">
            <v>99-000708</v>
          </cell>
        </row>
        <row r="1095">
          <cell r="A1095" t="str">
            <v>302-004064</v>
          </cell>
          <cell r="B1095" t="str">
            <v>99-003397</v>
          </cell>
        </row>
        <row r="1096">
          <cell r="A1096" t="str">
            <v>302-004070</v>
          </cell>
          <cell r="B1096" t="str">
            <v>302-004070</v>
          </cell>
        </row>
        <row r="1097">
          <cell r="A1097" t="str">
            <v>302-004096</v>
          </cell>
          <cell r="B1097" t="str">
            <v>99-003372</v>
          </cell>
        </row>
        <row r="1098">
          <cell r="A1098" t="str">
            <v>302-004132</v>
          </cell>
          <cell r="B1098" t="str">
            <v>302-004132</v>
          </cell>
        </row>
        <row r="1099">
          <cell r="A1099" t="str">
            <v>302-004141</v>
          </cell>
          <cell r="B1099" t="str">
            <v>99-004141</v>
          </cell>
        </row>
        <row r="1100">
          <cell r="A1100" t="str">
            <v>302-004159</v>
          </cell>
          <cell r="B1100" t="str">
            <v>99-003018</v>
          </cell>
        </row>
        <row r="1101">
          <cell r="A1101" t="str">
            <v>302-004160</v>
          </cell>
          <cell r="B1101" t="str">
            <v>302-004160</v>
          </cell>
        </row>
        <row r="1102">
          <cell r="A1102" t="str">
            <v>302-004167</v>
          </cell>
          <cell r="B1102" t="str">
            <v>99-004167</v>
          </cell>
        </row>
        <row r="1103">
          <cell r="A1103" t="str">
            <v>302-004209</v>
          </cell>
          <cell r="B1103" t="str">
            <v>99-004176</v>
          </cell>
        </row>
        <row r="1104">
          <cell r="A1104" t="str">
            <v>302-004210</v>
          </cell>
          <cell r="B1104" t="str">
            <v>99-003292</v>
          </cell>
        </row>
        <row r="1105">
          <cell r="A1105" t="str">
            <v>302-004212</v>
          </cell>
          <cell r="B1105" t="str">
            <v>302-004212</v>
          </cell>
        </row>
        <row r="1106">
          <cell r="A1106" t="str">
            <v>302-004213</v>
          </cell>
          <cell r="B1106" t="str">
            <v>302-004213</v>
          </cell>
        </row>
        <row r="1107">
          <cell r="A1107" t="str">
            <v>302-004214</v>
          </cell>
          <cell r="B1107" t="str">
            <v>302-004214</v>
          </cell>
        </row>
        <row r="1108">
          <cell r="A1108" t="str">
            <v>302-004215</v>
          </cell>
          <cell r="B1108" t="str">
            <v>302-004215</v>
          </cell>
        </row>
        <row r="1109">
          <cell r="A1109" t="str">
            <v>302-004217</v>
          </cell>
          <cell r="B1109" t="str">
            <v>302-004217</v>
          </cell>
        </row>
        <row r="1110">
          <cell r="A1110" t="str">
            <v>302-004218</v>
          </cell>
          <cell r="B1110" t="str">
            <v>302-004218</v>
          </cell>
        </row>
        <row r="1111">
          <cell r="A1111" t="str">
            <v>302-004219</v>
          </cell>
          <cell r="B1111" t="str">
            <v>302-004219</v>
          </cell>
        </row>
        <row r="1112">
          <cell r="A1112" t="str">
            <v>302-004220</v>
          </cell>
          <cell r="B1112" t="str">
            <v>302-004220</v>
          </cell>
        </row>
        <row r="1113">
          <cell r="A1113" t="str">
            <v>302-004221</v>
          </cell>
          <cell r="B1113" t="str">
            <v>302-004221</v>
          </cell>
        </row>
        <row r="1114">
          <cell r="A1114" t="str">
            <v>302-004222</v>
          </cell>
          <cell r="B1114" t="str">
            <v>99-000910</v>
          </cell>
        </row>
        <row r="1115">
          <cell r="A1115" t="str">
            <v>302-004223</v>
          </cell>
          <cell r="B1115" t="str">
            <v>99-000910</v>
          </cell>
        </row>
        <row r="1116">
          <cell r="A1116" t="str">
            <v>302-004224</v>
          </cell>
          <cell r="B1116" t="str">
            <v>302-004224</v>
          </cell>
        </row>
        <row r="1117">
          <cell r="A1117" t="str">
            <v>302-004225</v>
          </cell>
          <cell r="B1117" t="str">
            <v>302-004225</v>
          </cell>
        </row>
        <row r="1118">
          <cell r="A1118" t="str">
            <v>302-004228</v>
          </cell>
          <cell r="B1118" t="str">
            <v>99-003938</v>
          </cell>
        </row>
        <row r="1119">
          <cell r="A1119" t="str">
            <v>302-004270</v>
          </cell>
          <cell r="B1119" t="str">
            <v>88-000288</v>
          </cell>
        </row>
        <row r="1120">
          <cell r="A1120" t="str">
            <v>302-004314</v>
          </cell>
          <cell r="B1120" t="str">
            <v>302-004314</v>
          </cell>
        </row>
        <row r="1121">
          <cell r="A1121" t="str">
            <v>302-004323</v>
          </cell>
          <cell r="B1121" t="str">
            <v>99-001862</v>
          </cell>
        </row>
        <row r="1122">
          <cell r="A1122" t="str">
            <v>302-004328</v>
          </cell>
          <cell r="B1122" t="str">
            <v>99-002895</v>
          </cell>
        </row>
        <row r="1123">
          <cell r="A1123" t="str">
            <v>302-004341</v>
          </cell>
          <cell r="B1123" t="str">
            <v>99-004341</v>
          </cell>
        </row>
        <row r="1124">
          <cell r="A1124" t="str">
            <v>302-004349</v>
          </cell>
          <cell r="B1124" t="str">
            <v>99-001655</v>
          </cell>
        </row>
        <row r="1125">
          <cell r="A1125" t="str">
            <v>302-004411</v>
          </cell>
          <cell r="B1125" t="str">
            <v>99-003537</v>
          </cell>
        </row>
        <row r="1126">
          <cell r="A1126" t="str">
            <v>302-004486</v>
          </cell>
          <cell r="B1126" t="str">
            <v>99-004167</v>
          </cell>
        </row>
        <row r="1127">
          <cell r="A1127" t="str">
            <v>304-000463</v>
          </cell>
          <cell r="B1127" t="str">
            <v>304-000463</v>
          </cell>
        </row>
        <row r="1128">
          <cell r="A1128" t="str">
            <v>309-000540</v>
          </cell>
          <cell r="B1128" t="str">
            <v>309-000540</v>
          </cell>
        </row>
        <row r="1129">
          <cell r="A1129" t="str">
            <v>309-000541</v>
          </cell>
          <cell r="B1129" t="str">
            <v>309-000541</v>
          </cell>
        </row>
        <row r="1130">
          <cell r="A1130" t="str">
            <v>309-000542</v>
          </cell>
          <cell r="B1130" t="str">
            <v>309-000542</v>
          </cell>
        </row>
        <row r="1131">
          <cell r="A1131" t="str">
            <v>309-000543</v>
          </cell>
          <cell r="B1131" t="str">
            <v>309-000543</v>
          </cell>
        </row>
        <row r="1132">
          <cell r="A1132" t="str">
            <v>309-000544</v>
          </cell>
          <cell r="B1132" t="str">
            <v>309-000544</v>
          </cell>
        </row>
        <row r="1133">
          <cell r="A1133" t="str">
            <v>309-000545</v>
          </cell>
          <cell r="B1133" t="str">
            <v>309-000545</v>
          </cell>
        </row>
        <row r="1134">
          <cell r="A1134" t="str">
            <v>601-8133</v>
          </cell>
          <cell r="B1134" t="str">
            <v>77-008133</v>
          </cell>
        </row>
        <row r="1135">
          <cell r="A1135" t="str">
            <v>68-000154</v>
          </cell>
          <cell r="B1135" t="str">
            <v>68-000154</v>
          </cell>
        </row>
        <row r="1136">
          <cell r="A1136" t="str">
            <v>68-000218</v>
          </cell>
          <cell r="B1136" t="str">
            <v>68-000218</v>
          </cell>
        </row>
        <row r="1137">
          <cell r="A1137" t="str">
            <v>68-000219</v>
          </cell>
          <cell r="B1137" t="str">
            <v>68-000219</v>
          </cell>
        </row>
        <row r="1138">
          <cell r="A1138" t="str">
            <v>909-000001</v>
          </cell>
          <cell r="B1138" t="str">
            <v>99-001899</v>
          </cell>
        </row>
        <row r="1139">
          <cell r="A1139" t="str">
            <v>909-000002</v>
          </cell>
          <cell r="B1139" t="str">
            <v>99-003774</v>
          </cell>
        </row>
        <row r="1140">
          <cell r="A1140" t="str">
            <v>909-000003</v>
          </cell>
          <cell r="B1140" t="str">
            <v>99-003771</v>
          </cell>
        </row>
        <row r="1141">
          <cell r="A1141" t="str">
            <v>909-000004</v>
          </cell>
          <cell r="B1141" t="str">
            <v>99-003770</v>
          </cell>
        </row>
        <row r="1142">
          <cell r="A1142" t="str">
            <v>909-000005</v>
          </cell>
          <cell r="B1142" t="str">
            <v>99-003777</v>
          </cell>
        </row>
        <row r="1143">
          <cell r="A1143" t="str">
            <v>909-000006</v>
          </cell>
          <cell r="B1143" t="str">
            <v>99-003776</v>
          </cell>
        </row>
        <row r="1144">
          <cell r="A1144" t="str">
            <v>909-000007</v>
          </cell>
          <cell r="B1144" t="str">
            <v>99-003775</v>
          </cell>
        </row>
        <row r="1145">
          <cell r="A1145" t="str">
            <v>909-000008</v>
          </cell>
          <cell r="B1145" t="str">
            <v>909-000008</v>
          </cell>
        </row>
        <row r="1146">
          <cell r="A1146" t="str">
            <v>909-000009</v>
          </cell>
          <cell r="B1146" t="str">
            <v>99-003771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CBA3-8F7F-439E-BA5B-9A20C911D042}">
  <dimension ref="A1:N43"/>
  <sheetViews>
    <sheetView tabSelected="1" zoomScaleNormal="100" workbookViewId="0">
      <selection activeCell="B34" sqref="B34"/>
    </sheetView>
  </sheetViews>
  <sheetFormatPr defaultRowHeight="13.8"/>
  <cols>
    <col min="1" max="1" width="27.109375" customWidth="1"/>
    <col min="2" max="2" width="34.33203125" customWidth="1"/>
    <col min="3" max="3" width="16.33203125" customWidth="1"/>
    <col min="4" max="4" width="33.44140625" customWidth="1"/>
    <col min="5" max="5" width="15.6640625" customWidth="1"/>
    <col min="6" max="6" width="55.109375" customWidth="1"/>
    <col min="7" max="7" width="14.6640625" customWidth="1"/>
    <col min="8" max="8" width="18.88671875" customWidth="1"/>
    <col min="9" max="9" width="21.44140625" customWidth="1"/>
    <col min="10" max="10" width="12.88671875" customWidth="1"/>
    <col min="11" max="13" width="36.109375" style="13" customWidth="1"/>
    <col min="14" max="14" width="38.21875" customWidth="1"/>
  </cols>
  <sheetData>
    <row r="1" spans="1:14" ht="122.4" customHeight="1">
      <c r="A1" s="17" t="s">
        <v>507</v>
      </c>
    </row>
    <row r="2" spans="1:14">
      <c r="A2" t="s">
        <v>491</v>
      </c>
      <c r="B2" t="s">
        <v>481</v>
      </c>
      <c r="C2" t="s">
        <v>492</v>
      </c>
      <c r="D2" t="s">
        <v>490</v>
      </c>
      <c r="E2" t="s">
        <v>496</v>
      </c>
      <c r="F2" t="s">
        <v>5</v>
      </c>
      <c r="G2" t="s">
        <v>503</v>
      </c>
      <c r="H2" t="s">
        <v>505</v>
      </c>
      <c r="I2" t="s">
        <v>482</v>
      </c>
      <c r="J2" t="s">
        <v>483</v>
      </c>
      <c r="K2" s="13" t="s">
        <v>532</v>
      </c>
      <c r="L2" s="13" t="s">
        <v>531</v>
      </c>
      <c r="M2" s="13" t="s">
        <v>530</v>
      </c>
      <c r="N2" t="s">
        <v>529</v>
      </c>
    </row>
    <row r="3" spans="1:14" s="19" customFormat="1" ht="214.2" customHeight="1">
      <c r="A3" s="18" t="s">
        <v>500</v>
      </c>
      <c r="B3" s="19" t="s">
        <v>494</v>
      </c>
      <c r="C3" s="18" t="s">
        <v>495</v>
      </c>
      <c r="D3" s="18" t="s">
        <v>493</v>
      </c>
      <c r="E3" s="18" t="s">
        <v>504</v>
      </c>
      <c r="F3" s="18" t="s">
        <v>502</v>
      </c>
      <c r="G3" s="18" t="s">
        <v>508</v>
      </c>
      <c r="H3" s="18" t="s">
        <v>506</v>
      </c>
      <c r="I3" s="21" t="s">
        <v>516</v>
      </c>
      <c r="J3" s="18" t="s">
        <v>526</v>
      </c>
      <c r="K3" s="24" t="s">
        <v>527</v>
      </c>
      <c r="L3" s="24" t="s">
        <v>533</v>
      </c>
      <c r="M3" s="24" t="s">
        <v>534</v>
      </c>
      <c r="N3" s="19" t="s">
        <v>528</v>
      </c>
    </row>
    <row r="4" spans="1:14" s="20" customFormat="1">
      <c r="A4" s="20" t="s">
        <v>487</v>
      </c>
      <c r="B4" s="20" t="s">
        <v>24</v>
      </c>
      <c r="C4" s="20" t="s">
        <v>489</v>
      </c>
      <c r="D4" s="20" t="s">
        <v>436</v>
      </c>
      <c r="E4" s="20" t="s">
        <v>71</v>
      </c>
      <c r="F4" s="16">
        <v>-1</v>
      </c>
      <c r="G4" s="16" t="s">
        <v>83</v>
      </c>
      <c r="H4" s="16">
        <v>0</v>
      </c>
      <c r="I4" s="16" t="s">
        <v>484</v>
      </c>
      <c r="J4" s="16">
        <v>35</v>
      </c>
      <c r="K4" s="16">
        <v>1</v>
      </c>
      <c r="L4" s="16"/>
      <c r="M4" s="16"/>
    </row>
    <row r="5" spans="1:14">
      <c r="A5" t="s">
        <v>498</v>
      </c>
      <c r="F5" s="16"/>
      <c r="G5" s="3"/>
      <c r="H5" s="3"/>
      <c r="I5" s="3"/>
      <c r="J5" s="3"/>
      <c r="K5" s="3"/>
      <c r="L5" s="3"/>
      <c r="M5" s="3"/>
    </row>
    <row r="6" spans="1:14" s="20" customFormat="1">
      <c r="A6" s="20" t="s">
        <v>497</v>
      </c>
      <c r="B6" s="20" t="s">
        <v>485</v>
      </c>
      <c r="C6" s="20" t="s">
        <v>486</v>
      </c>
      <c r="D6" s="20" t="s">
        <v>405</v>
      </c>
      <c r="E6" s="20" t="s">
        <v>177</v>
      </c>
      <c r="F6" s="16">
        <v>-1</v>
      </c>
      <c r="G6" s="16" t="s">
        <v>12</v>
      </c>
      <c r="H6" s="16">
        <v>1</v>
      </c>
      <c r="I6" s="16" t="s">
        <v>484</v>
      </c>
      <c r="J6" s="16">
        <v>1</v>
      </c>
      <c r="K6" s="16">
        <v>2</v>
      </c>
      <c r="L6" s="16"/>
      <c r="M6" s="16"/>
    </row>
    <row r="7" spans="1:14" ht="55.2">
      <c r="A7" s="15" t="s">
        <v>499</v>
      </c>
      <c r="E7" t="s">
        <v>535</v>
      </c>
      <c r="K7"/>
      <c r="L7"/>
      <c r="M7"/>
    </row>
    <row r="9" spans="1:14">
      <c r="A9" s="17" t="s">
        <v>488</v>
      </c>
    </row>
    <row r="10" spans="1:14">
      <c r="H10" t="s">
        <v>509</v>
      </c>
      <c r="I10" t="s">
        <v>522</v>
      </c>
      <c r="J10" t="s">
        <v>517</v>
      </c>
      <c r="K10" s="13" t="s">
        <v>521</v>
      </c>
    </row>
    <row r="11" spans="1:14">
      <c r="I11" s="17" t="s">
        <v>513</v>
      </c>
      <c r="J11" s="17" t="s">
        <v>518</v>
      </c>
      <c r="K11" s="13" t="s">
        <v>523</v>
      </c>
    </row>
    <row r="12" spans="1:14">
      <c r="I12" s="17" t="s">
        <v>511</v>
      </c>
      <c r="J12" s="17"/>
    </row>
    <row r="13" spans="1:14">
      <c r="I13" s="22" t="s">
        <v>510</v>
      </c>
      <c r="J13" s="22" t="s">
        <v>519</v>
      </c>
      <c r="K13" s="13" t="s">
        <v>524</v>
      </c>
    </row>
    <row r="14" spans="1:14">
      <c r="I14" s="22" t="s">
        <v>514</v>
      </c>
      <c r="J14" s="22"/>
    </row>
    <row r="15" spans="1:14">
      <c r="I15" s="22" t="s">
        <v>515</v>
      </c>
      <c r="J15" s="22"/>
    </row>
    <row r="16" spans="1:14">
      <c r="I16" s="23" t="s">
        <v>512</v>
      </c>
      <c r="J16" s="23" t="s">
        <v>520</v>
      </c>
      <c r="K16" s="13" t="s">
        <v>525</v>
      </c>
    </row>
    <row r="43" spans="1:1">
      <c r="A43" s="17" t="s">
        <v>501</v>
      </c>
    </row>
  </sheetData>
  <phoneticPr fontId="2" type="noConversion"/>
  <conditionalFormatting sqref="F4:J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1355-C7D9-4FE5-9D4E-478552B4B7C0}">
  <dimension ref="A1:S2"/>
  <sheetViews>
    <sheetView workbookViewId="0">
      <selection activeCell="I10" sqref="I10"/>
    </sheetView>
  </sheetViews>
  <sheetFormatPr defaultRowHeight="13.8"/>
  <cols>
    <col min="1" max="1" width="15.21875" customWidth="1"/>
    <col min="2" max="2" width="15.109375" customWidth="1"/>
    <col min="3" max="3" width="20.77734375" customWidth="1"/>
    <col min="4" max="14" width="10.109375" customWidth="1"/>
    <col min="15" max="15" width="13.5546875" customWidth="1"/>
    <col min="16" max="16" width="12.6640625" customWidth="1"/>
    <col min="17" max="17" width="14.88671875" customWidth="1"/>
    <col min="18" max="18" width="16.109375" customWidth="1"/>
    <col min="19" max="19" width="16.77734375" customWidth="1"/>
  </cols>
  <sheetData>
    <row r="1" spans="1:19" ht="34.799999999999997">
      <c r="A1" s="25" t="s">
        <v>536</v>
      </c>
      <c r="B1" s="25" t="s">
        <v>537</v>
      </c>
      <c r="C1" s="25" t="s">
        <v>538</v>
      </c>
      <c r="D1" s="25" t="s">
        <v>539</v>
      </c>
      <c r="E1" s="25" t="s">
        <v>540</v>
      </c>
      <c r="F1" s="25" t="s">
        <v>541</v>
      </c>
      <c r="G1" s="25" t="s">
        <v>542</v>
      </c>
      <c r="H1" s="25" t="s">
        <v>543</v>
      </c>
      <c r="I1" s="25" t="s">
        <v>544</v>
      </c>
      <c r="J1" s="25" t="s">
        <v>545</v>
      </c>
      <c r="K1" s="25" t="s">
        <v>546</v>
      </c>
      <c r="L1" s="25" t="s">
        <v>547</v>
      </c>
      <c r="M1" s="25" t="s">
        <v>548</v>
      </c>
      <c r="N1" s="25" t="s">
        <v>549</v>
      </c>
      <c r="O1" s="25" t="s">
        <v>550</v>
      </c>
      <c r="P1" s="29" t="s">
        <v>557</v>
      </c>
      <c r="Q1" s="29" t="s">
        <v>558</v>
      </c>
      <c r="R1" s="30" t="s">
        <v>559</v>
      </c>
      <c r="S1" s="30" t="s">
        <v>560</v>
      </c>
    </row>
    <row r="2" spans="1:19" ht="28.8">
      <c r="A2" s="27">
        <v>45944</v>
      </c>
      <c r="B2" s="26" t="s">
        <v>551</v>
      </c>
      <c r="C2" s="26" t="s">
        <v>552</v>
      </c>
      <c r="D2" s="26" t="s">
        <v>553</v>
      </c>
      <c r="E2" s="26"/>
      <c r="F2" s="26" t="s">
        <v>554</v>
      </c>
      <c r="G2" s="26">
        <v>1</v>
      </c>
      <c r="H2" s="26" t="s">
        <v>555</v>
      </c>
      <c r="I2" s="26"/>
      <c r="J2" s="26"/>
      <c r="K2" s="26">
        <v>9</v>
      </c>
      <c r="L2" s="26">
        <v>5</v>
      </c>
      <c r="M2" s="26">
        <v>99</v>
      </c>
      <c r="N2" s="26">
        <v>3</v>
      </c>
      <c r="O2" s="26" t="s">
        <v>556</v>
      </c>
      <c r="P2" s="28" t="s">
        <v>561</v>
      </c>
      <c r="Q2" s="28" t="s">
        <v>561</v>
      </c>
      <c r="R2" s="28" t="s">
        <v>562</v>
      </c>
      <c r="S2" s="28" t="s">
        <v>563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3A35-86F8-41E0-9080-BEB3B0A35E13}">
  <sheetPr filterMode="1"/>
  <dimension ref="A1:I319"/>
  <sheetViews>
    <sheetView workbookViewId="0">
      <pane ySplit="1" topLeftCell="A205" activePane="bottomLeft" state="frozen"/>
      <selection pane="bottomLeft" activeCell="A224" sqref="A224:XFD232"/>
    </sheetView>
  </sheetViews>
  <sheetFormatPr defaultRowHeight="13.8"/>
  <cols>
    <col min="1" max="1" width="13.21875" customWidth="1"/>
    <col min="2" max="2" width="14.77734375" style="14" customWidth="1"/>
    <col min="3" max="3" width="47.77734375" style="13" customWidth="1"/>
    <col min="4" max="4" width="14.109375" customWidth="1"/>
    <col min="5" max="5" width="10" style="14" customWidth="1"/>
    <col min="6" max="6" width="11.5546875" style="13" customWidth="1"/>
    <col min="7" max="7" width="48.88671875" customWidth="1"/>
    <col min="8" max="8" width="21.88671875" style="13" customWidth="1"/>
  </cols>
  <sheetData>
    <row r="1" spans="1:9" s="1" customForma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1" t="s">
        <v>6</v>
      </c>
    </row>
    <row r="2" spans="1:9" s="1" customFormat="1" hidden="1">
      <c r="A2" s="1" t="s">
        <v>8</v>
      </c>
      <c r="B2" s="2" t="str">
        <f>A2</f>
        <v>302-000145</v>
      </c>
      <c r="C2" s="3" t="str">
        <f>VLOOKUP(A2,[1]备料总表!$B:$I,2,0)</f>
        <v>4*3.5"后置硬盘背板(Riser1+2)组件(SAS/SATA)</v>
      </c>
      <c r="D2" s="1" t="str">
        <f>VLOOKUP(A2,[1]备料总表!$B:$I,4,0)</f>
        <v>后置硬盘背板</v>
      </c>
      <c r="E2" s="2" t="s">
        <v>9</v>
      </c>
      <c r="F2" s="4">
        <v>1</v>
      </c>
      <c r="G2" s="1" t="s">
        <v>10</v>
      </c>
      <c r="H2" s="3" t="str">
        <f>VLOOKUP(B2,[2]各库区库存!$A:$B,2,0)</f>
        <v>302-000145</v>
      </c>
    </row>
    <row r="3" spans="1:9" s="1" customFormat="1" hidden="1">
      <c r="A3" s="1" t="s">
        <v>11</v>
      </c>
      <c r="B3" s="2" t="str">
        <f t="shared" ref="B3:B66" si="0">A3</f>
        <v>302-000154</v>
      </c>
      <c r="C3" s="3" t="str">
        <f>VLOOKUP(A3,[1]备料总表!$B:$I,2,0)</f>
        <v>Riser3模组 2*16X SLOT (PCIE X8)DMINI</v>
      </c>
      <c r="D3" s="1" t="str">
        <f>VLOOKUP(A3,[1]备料总表!$B:$I,4,0)</f>
        <v>Riser模组</v>
      </c>
      <c r="E3" s="2" t="s">
        <v>12</v>
      </c>
      <c r="F3" s="4">
        <v>1</v>
      </c>
      <c r="G3" s="1" t="s">
        <v>13</v>
      </c>
      <c r="H3" s="3" t="str">
        <f>VLOOKUP(B3,[2]各库区库存!$A:$B,2,0)</f>
        <v>302-000154</v>
      </c>
    </row>
    <row r="4" spans="1:9" s="1" customFormat="1" hidden="1">
      <c r="A4" s="1" t="s">
        <v>14</v>
      </c>
      <c r="B4" s="2" t="str">
        <f t="shared" si="0"/>
        <v>302-000159</v>
      </c>
      <c r="C4" s="3" t="str">
        <f>VLOOKUP(A4,[1]备料总表!$B:$I,2,0)</f>
        <v>网卡4*10GE(Hi1822)-SFP+-PCIe3.0x8</v>
      </c>
      <c r="D4" s="1" t="str">
        <f>VLOOKUP(A4,[1]备料总表!$B:$I,4,0)</f>
        <v>网卡</v>
      </c>
      <c r="E4" s="2" t="s">
        <v>12</v>
      </c>
      <c r="F4" s="4">
        <v>1</v>
      </c>
      <c r="G4" s="1" t="s">
        <v>13</v>
      </c>
      <c r="H4" s="3" t="str">
        <f>VLOOKUP(B4,[2]各库区库存!$A:$B,2,0)</f>
        <v>302-000159</v>
      </c>
    </row>
    <row r="5" spans="1:9" s="1" customFormat="1" hidden="1">
      <c r="A5" s="1" t="s">
        <v>15</v>
      </c>
      <c r="B5" s="2" t="str">
        <f t="shared" si="0"/>
        <v>302-000224</v>
      </c>
      <c r="C5" s="3" t="str">
        <f>VLOOKUP(A5,[1]备料总表!$B:$I,2,0)</f>
        <v>SSD S4510-480G-SATA-6G-2.5读取YTL V1.0</v>
      </c>
      <c r="D5" s="1" t="str">
        <f>VLOOKUP(A5,[1]备料总表!$B:$I,4,0)</f>
        <v>硬盘</v>
      </c>
      <c r="E5" s="2" t="s">
        <v>16</v>
      </c>
      <c r="F5" s="4">
        <v>1</v>
      </c>
      <c r="G5" s="1" t="s">
        <v>17</v>
      </c>
      <c r="H5" s="3" t="str">
        <f>VLOOKUP(B5,[2]各库区库存!$A:$B,2,0)</f>
        <v>302-000224</v>
      </c>
    </row>
    <row r="6" spans="1:9" s="1" customFormat="1" hidden="1">
      <c r="A6" s="1" t="s">
        <v>18</v>
      </c>
      <c r="B6" s="2" t="str">
        <f t="shared" si="0"/>
        <v>302-000298</v>
      </c>
      <c r="C6" s="3" t="str">
        <f>VLOOKUP(A6,[1]备料总表!$B:$I,2,0)</f>
        <v>内置2.5寸硬盘背板-BC82HBBA</v>
      </c>
      <c r="D6" s="1" t="str">
        <f>VLOOKUP(A6,[1]备料总表!$B:$I,4,0)</f>
        <v>后置硬盘背板</v>
      </c>
      <c r="E6" s="2" t="s">
        <v>19</v>
      </c>
      <c r="F6" s="4">
        <v>1</v>
      </c>
      <c r="G6" s="1" t="s">
        <v>20</v>
      </c>
      <c r="H6" s="3" t="str">
        <f>VLOOKUP(B6,[2]各库区库存!$A:$B,2,0)</f>
        <v>302-000298</v>
      </c>
    </row>
    <row r="7" spans="1:9" s="1" customFormat="1" hidden="1">
      <c r="A7" s="1" t="s">
        <v>21</v>
      </c>
      <c r="B7" s="2" t="str">
        <f t="shared" si="0"/>
        <v>302-000370</v>
      </c>
      <c r="C7" s="3" t="str">
        <f>VLOOKUP(A7,[1]备料总表!$B:$I,2,0)</f>
        <v>后置PSU 4*2.5硬盘背板组件</v>
      </c>
      <c r="D7" s="1" t="str">
        <f>VLOOKUP(A7,[1]备料总表!$B:$I,4,0)</f>
        <v>后置硬盘背板</v>
      </c>
      <c r="E7" s="2" t="s">
        <v>22</v>
      </c>
      <c r="F7" s="4">
        <v>1</v>
      </c>
      <c r="G7" s="1" t="s">
        <v>23</v>
      </c>
      <c r="H7" s="3" t="str">
        <f>VLOOKUP(B7,[2]各库区库存!$A:$B,2,0)</f>
        <v>302-000370</v>
      </c>
    </row>
    <row r="8" spans="1:9" s="1" customFormat="1" hidden="1">
      <c r="A8" s="1" t="s">
        <v>24</v>
      </c>
      <c r="B8" s="2" t="str">
        <f t="shared" si="0"/>
        <v>302-000471</v>
      </c>
      <c r="C8" s="3" t="str">
        <f>VLOOKUP(A8,[1]备料总表!$B:$I,2,0)</f>
        <v>电缆-SlimLine-Riser1_背板-R62X</v>
      </c>
      <c r="D8" s="1" t="str">
        <f>VLOOKUP(A8,[1]备料总表!$B:$I,4,0)</f>
        <v>线缆</v>
      </c>
      <c r="E8" s="2" t="s">
        <v>25</v>
      </c>
      <c r="F8" s="4">
        <v>1</v>
      </c>
      <c r="G8" s="2">
        <v>5</v>
      </c>
      <c r="H8" s="3" t="str">
        <f>VLOOKUP(B8,[2]各库区库存!$A:$B,2,0)</f>
        <v>302-000471</v>
      </c>
    </row>
    <row r="9" spans="1:9" s="1" customFormat="1" hidden="1">
      <c r="A9" s="1" t="s">
        <v>26</v>
      </c>
      <c r="B9" s="2" t="str">
        <f t="shared" si="0"/>
        <v>302-000471</v>
      </c>
      <c r="C9" s="3" t="str">
        <f>VLOOKUP(A9,[1]备料总表!$B:$I,2,0)</f>
        <v>电缆-SlimLine-Riser1_背板-R62X</v>
      </c>
      <c r="D9" s="1" t="str">
        <f>VLOOKUP(A9,[1]备料总表!$B:$I,4,0)</f>
        <v>线缆</v>
      </c>
      <c r="E9" s="2" t="s">
        <v>27</v>
      </c>
      <c r="F9" s="4">
        <v>1</v>
      </c>
      <c r="G9" s="2">
        <v>36</v>
      </c>
      <c r="H9" s="3" t="str">
        <f>VLOOKUP(B9,[2]各库区库存!$A:$B,2,0)</f>
        <v>302-000471</v>
      </c>
    </row>
    <row r="10" spans="1:9" s="1" customFormat="1" hidden="1">
      <c r="A10" s="1" t="s">
        <v>26</v>
      </c>
      <c r="B10" s="2" t="str">
        <f t="shared" si="0"/>
        <v>302-000471</v>
      </c>
      <c r="C10" s="3" t="str">
        <f>VLOOKUP(A10,[1]备料总表!$B:$I,2,0)</f>
        <v>电缆-SlimLine-Riser1_背板-R62X</v>
      </c>
      <c r="D10" s="1" t="str">
        <f>VLOOKUP(A10,[1]备料总表!$B:$I,4,0)</f>
        <v>线缆</v>
      </c>
      <c r="E10" s="2" t="s">
        <v>28</v>
      </c>
      <c r="F10" s="5">
        <v>1</v>
      </c>
      <c r="G10" s="2">
        <v>55</v>
      </c>
      <c r="H10" s="3" t="str">
        <f>VLOOKUP(B10,[2]各库区库存!$A:$B,2,0)</f>
        <v>302-000471</v>
      </c>
    </row>
    <row r="11" spans="1:9" s="1" customFormat="1" hidden="1">
      <c r="A11" s="1" t="s">
        <v>26</v>
      </c>
      <c r="B11" s="2" t="str">
        <f t="shared" si="0"/>
        <v>302-000471</v>
      </c>
      <c r="C11" s="3" t="str">
        <f>VLOOKUP(A11,[1]备料总表!$B:$I,2,0)</f>
        <v>电缆-SlimLine-Riser1_背板-R62X</v>
      </c>
      <c r="D11" s="1" t="str">
        <f>VLOOKUP(A11,[1]备料总表!$B:$I,4,0)</f>
        <v>线缆</v>
      </c>
      <c r="E11" s="2" t="s">
        <v>29</v>
      </c>
      <c r="F11" s="5">
        <v>1</v>
      </c>
      <c r="G11" s="2">
        <v>55</v>
      </c>
      <c r="H11" s="3" t="str">
        <f>VLOOKUP(B11,[2]各库区库存!$A:$B,2,0)</f>
        <v>302-000471</v>
      </c>
    </row>
    <row r="12" spans="1:9" s="1" customFormat="1" hidden="1">
      <c r="A12" s="1" t="s">
        <v>26</v>
      </c>
      <c r="B12" s="2" t="str">
        <f t="shared" si="0"/>
        <v>302-000471</v>
      </c>
      <c r="C12" s="3" t="str">
        <f>VLOOKUP(A12,[1]备料总表!$B:$I,2,0)</f>
        <v>电缆-SlimLine-Riser1_背板-R62X</v>
      </c>
      <c r="D12" s="1" t="str">
        <f>VLOOKUP(A12,[1]备料总表!$B:$I,4,0)</f>
        <v>线缆</v>
      </c>
      <c r="E12" s="2" t="s">
        <v>30</v>
      </c>
      <c r="F12" s="4">
        <v>1</v>
      </c>
      <c r="G12" s="2">
        <v>28</v>
      </c>
      <c r="H12" s="3" t="str">
        <f>VLOOKUP(B12,[2]各库区库存!$A:$B,2,0)</f>
        <v>302-000471</v>
      </c>
    </row>
    <row r="13" spans="1:9" s="1" customFormat="1" hidden="1">
      <c r="A13" s="1" t="s">
        <v>26</v>
      </c>
      <c r="B13" s="2" t="str">
        <f t="shared" si="0"/>
        <v>302-000471</v>
      </c>
      <c r="C13" s="3" t="str">
        <f>VLOOKUP(A13,[1]备料总表!$B:$I,2,0)</f>
        <v>电缆-SlimLine-Riser1_背板-R62X</v>
      </c>
      <c r="D13" s="1" t="str">
        <f>VLOOKUP(A13,[1]备料总表!$B:$I,4,0)</f>
        <v>线缆</v>
      </c>
      <c r="E13" s="2" t="s">
        <v>31</v>
      </c>
      <c r="F13" s="4">
        <v>1</v>
      </c>
      <c r="G13" s="2">
        <v>40</v>
      </c>
      <c r="H13" s="3" t="str">
        <f>VLOOKUP(B13,[2]各库区库存!$A:$B,2,0)</f>
        <v>302-000471</v>
      </c>
    </row>
    <row r="14" spans="1:9" s="1" customFormat="1" hidden="1">
      <c r="A14" s="1" t="s">
        <v>26</v>
      </c>
      <c r="B14" s="2" t="str">
        <f t="shared" si="0"/>
        <v>302-000471</v>
      </c>
      <c r="C14" s="3" t="str">
        <f>VLOOKUP(A14,[1]备料总表!$B:$I,2,0)</f>
        <v>电缆-SlimLine-Riser1_背板-R62X</v>
      </c>
      <c r="D14" s="1" t="str">
        <f>VLOOKUP(A14,[1]备料总表!$B:$I,4,0)</f>
        <v>线缆</v>
      </c>
      <c r="E14" s="2" t="s">
        <v>32</v>
      </c>
      <c r="F14" s="4">
        <v>1</v>
      </c>
      <c r="G14" s="2">
        <v>19</v>
      </c>
      <c r="H14" s="3" t="str">
        <f>VLOOKUP(B14,[2]各库区库存!$A:$B,2,0)</f>
        <v>302-000471</v>
      </c>
    </row>
    <row r="15" spans="1:9" s="1" customFormat="1" hidden="1">
      <c r="A15" s="1" t="s">
        <v>26</v>
      </c>
      <c r="B15" s="2" t="str">
        <f t="shared" si="0"/>
        <v>302-000471</v>
      </c>
      <c r="C15" s="3" t="str">
        <f>VLOOKUP(A15,[1]备料总表!$B:$I,2,0)</f>
        <v>电缆-SlimLine-Riser1_背板-R62X</v>
      </c>
      <c r="D15" s="1" t="str">
        <f>VLOOKUP(A15,[1]备料总表!$B:$I,4,0)</f>
        <v>线缆</v>
      </c>
      <c r="E15" s="2" t="s">
        <v>33</v>
      </c>
      <c r="F15" s="4">
        <v>1</v>
      </c>
      <c r="G15" s="2">
        <v>1</v>
      </c>
      <c r="H15" s="3" t="str">
        <f>VLOOKUP(B15,[2]各库区库存!$A:$B,2,0)</f>
        <v>302-000471</v>
      </c>
    </row>
    <row r="16" spans="1:9" s="1" customFormat="1" hidden="1">
      <c r="A16" s="1" t="s">
        <v>26</v>
      </c>
      <c r="B16" s="2" t="str">
        <f t="shared" si="0"/>
        <v>302-000471</v>
      </c>
      <c r="C16" s="3" t="str">
        <f>VLOOKUP(A16,[1]备料总表!$B:$I,2,0)</f>
        <v>电缆-SlimLine-Riser1_背板-R62X</v>
      </c>
      <c r="D16" s="1" t="str">
        <f>VLOOKUP(A16,[1]备料总表!$B:$I,4,0)</f>
        <v>线缆</v>
      </c>
      <c r="E16" s="2" t="s">
        <v>34</v>
      </c>
      <c r="F16" s="4">
        <v>1</v>
      </c>
      <c r="G16" s="2">
        <v>11</v>
      </c>
      <c r="H16" s="3" t="str">
        <f>VLOOKUP(B16,[2]各库区库存!$A:$B,2,0)</f>
        <v>302-000471</v>
      </c>
    </row>
    <row r="17" spans="1:8" s="1" customFormat="1" hidden="1">
      <c r="A17" s="1" t="s">
        <v>26</v>
      </c>
      <c r="B17" s="2" t="str">
        <f t="shared" si="0"/>
        <v>302-000471</v>
      </c>
      <c r="C17" s="3" t="str">
        <f>VLOOKUP(A17,[1]备料总表!$B:$I,2,0)</f>
        <v>电缆-SlimLine-Riser1_背板-R62X</v>
      </c>
      <c r="D17" s="1" t="str">
        <f>VLOOKUP(A17,[1]备料总表!$B:$I,4,0)</f>
        <v>线缆</v>
      </c>
      <c r="E17" s="2" t="s">
        <v>35</v>
      </c>
      <c r="F17" s="4">
        <v>1</v>
      </c>
      <c r="G17" s="2">
        <v>4</v>
      </c>
      <c r="H17" s="3" t="str">
        <f>VLOOKUP(B17,[2]各库区库存!$A:$B,2,0)</f>
        <v>302-000471</v>
      </c>
    </row>
    <row r="18" spans="1:8" s="1" customFormat="1" hidden="1">
      <c r="A18" s="1" t="s">
        <v>24</v>
      </c>
      <c r="B18" s="2" t="str">
        <f t="shared" si="0"/>
        <v>302-000471</v>
      </c>
      <c r="C18" s="3" t="str">
        <f>VLOOKUP(A18,[1]备料总表!$B:$I,2,0)</f>
        <v>电缆-SlimLine-Riser1_背板-R62X</v>
      </c>
      <c r="D18" s="1" t="str">
        <f>VLOOKUP(A18,[1]备料总表!$B:$I,4,0)</f>
        <v>线缆</v>
      </c>
      <c r="E18" s="2" t="s">
        <v>36</v>
      </c>
      <c r="F18" s="6">
        <v>1</v>
      </c>
      <c r="G18" s="2" t="s">
        <v>37</v>
      </c>
      <c r="H18" s="3" t="str">
        <f>VLOOKUP(B18,[2]各库区库存!$A:$B,2,0)</f>
        <v>302-000471</v>
      </c>
    </row>
    <row r="19" spans="1:8" s="1" customFormat="1" hidden="1">
      <c r="A19" s="1" t="s">
        <v>26</v>
      </c>
      <c r="B19" s="2" t="str">
        <f t="shared" si="0"/>
        <v>302-000471</v>
      </c>
      <c r="C19" s="3" t="str">
        <f>VLOOKUP(A19,[1]备料总表!$B:$I,2,0)</f>
        <v>电缆-SlimLine-Riser1_背板-R62X</v>
      </c>
      <c r="D19" s="1" t="str">
        <f>VLOOKUP(A19,[1]备料总表!$B:$I,4,0)</f>
        <v>线缆</v>
      </c>
      <c r="E19" s="2" t="s">
        <v>38</v>
      </c>
      <c r="F19" s="4">
        <v>1</v>
      </c>
      <c r="G19" s="2">
        <v>15</v>
      </c>
      <c r="H19" s="3" t="str">
        <f>VLOOKUP(B19,[2]各库区库存!$A:$B,2,0)</f>
        <v>302-000471</v>
      </c>
    </row>
    <row r="20" spans="1:8" s="1" customFormat="1" hidden="1">
      <c r="A20" s="1" t="s">
        <v>26</v>
      </c>
      <c r="B20" s="2" t="str">
        <f t="shared" si="0"/>
        <v>302-000471</v>
      </c>
      <c r="C20" s="3" t="str">
        <f>VLOOKUP(A20,[1]备料总表!$B:$I,2,0)</f>
        <v>电缆-SlimLine-Riser1_背板-R62X</v>
      </c>
      <c r="D20" s="1" t="str">
        <f>VLOOKUP(A20,[1]备料总表!$B:$I,4,0)</f>
        <v>线缆</v>
      </c>
      <c r="E20" s="2" t="s">
        <v>39</v>
      </c>
      <c r="F20" s="4">
        <v>1</v>
      </c>
      <c r="G20" s="2">
        <v>8</v>
      </c>
      <c r="H20" s="3" t="str">
        <f>VLOOKUP(B20,[2]各库区库存!$A:$B,2,0)</f>
        <v>302-000471</v>
      </c>
    </row>
    <row r="21" spans="1:8" s="1" customFormat="1" hidden="1">
      <c r="A21" s="1" t="s">
        <v>40</v>
      </c>
      <c r="B21" s="2" t="str">
        <f t="shared" si="0"/>
        <v>302-001139</v>
      </c>
      <c r="C21" s="3" t="str">
        <f>VLOOKUP(A21,[1]备料总表!$B:$I,2,0)</f>
        <v>S主板920X02K-5251K 4*(920,48C),4*GE</v>
      </c>
      <c r="D21" s="1" t="str">
        <f>VLOOKUP(A21,[1]备料总表!$B:$I,4,0)</f>
        <v>主板</v>
      </c>
      <c r="E21" s="2" t="s">
        <v>35</v>
      </c>
      <c r="F21" s="4">
        <v>1</v>
      </c>
      <c r="G21" s="1" t="s">
        <v>41</v>
      </c>
      <c r="H21" s="3" t="str">
        <f>VLOOKUP(B21,[2]各库区库存!$A:$B,2,0)</f>
        <v>302-001139</v>
      </c>
    </row>
    <row r="22" spans="1:8" s="1" customFormat="1" hidden="1">
      <c r="A22" s="1" t="s">
        <v>40</v>
      </c>
      <c r="B22" s="2" t="str">
        <f t="shared" si="0"/>
        <v>302-001139</v>
      </c>
      <c r="C22" s="3" t="str">
        <f>VLOOKUP(A22,[1]备料总表!$B:$I,2,0)</f>
        <v>S主板920X02K-5251K 4*(920,48C),4*GE</v>
      </c>
      <c r="D22" s="1" t="str">
        <f>VLOOKUP(A22,[1]备料总表!$B:$I,4,0)</f>
        <v>主板</v>
      </c>
      <c r="E22" s="2" t="s">
        <v>31</v>
      </c>
      <c r="F22" s="4">
        <v>1</v>
      </c>
      <c r="G22" s="1" t="s">
        <v>42</v>
      </c>
      <c r="H22" s="3" t="str">
        <f>VLOOKUP(B22,[2]各库区库存!$A:$B,2,0)</f>
        <v>302-001139</v>
      </c>
    </row>
    <row r="23" spans="1:8" s="1" customFormat="1" hidden="1">
      <c r="A23" s="1" t="s">
        <v>40</v>
      </c>
      <c r="B23" s="2" t="str">
        <f t="shared" si="0"/>
        <v>302-001139</v>
      </c>
      <c r="C23" s="3" t="str">
        <f>VLOOKUP(A23,[1]备料总表!$B:$I,2,0)</f>
        <v>S主板920X02K-5251K 4*(920,48C),4*GE</v>
      </c>
      <c r="D23" s="1" t="str">
        <f>VLOOKUP(A23,[1]备料总表!$B:$I,4,0)</f>
        <v>主板</v>
      </c>
      <c r="E23" s="2" t="s">
        <v>36</v>
      </c>
      <c r="F23" s="4">
        <v>1</v>
      </c>
      <c r="G23" s="1" t="s">
        <v>43</v>
      </c>
      <c r="H23" s="3" t="str">
        <f>VLOOKUP(B23,[2]各库区库存!$A:$B,2,0)</f>
        <v>302-001139</v>
      </c>
    </row>
    <row r="24" spans="1:8" s="1" customFormat="1" hidden="1">
      <c r="A24" s="1" t="s">
        <v>40</v>
      </c>
      <c r="B24" s="2" t="str">
        <f t="shared" si="0"/>
        <v>302-001139</v>
      </c>
      <c r="C24" s="3" t="str">
        <f>VLOOKUP(A24,[1]备料总表!$B:$I,2,0)</f>
        <v>S主板920X02K-5251K 4*(920,48C),4*GE</v>
      </c>
      <c r="D24" s="1" t="str">
        <f>VLOOKUP(A24,[1]备料总表!$B:$I,4,0)</f>
        <v>主板</v>
      </c>
      <c r="E24" s="2" t="s">
        <v>32</v>
      </c>
      <c r="F24" s="4">
        <v>1</v>
      </c>
      <c r="G24" s="1" t="s">
        <v>44</v>
      </c>
      <c r="H24" s="3" t="str">
        <f>VLOOKUP(B24,[2]各库区库存!$A:$B,2,0)</f>
        <v>302-001139</v>
      </c>
    </row>
    <row r="25" spans="1:8" s="1" customFormat="1" hidden="1">
      <c r="A25" s="1" t="s">
        <v>40</v>
      </c>
      <c r="B25" s="2" t="str">
        <f t="shared" si="0"/>
        <v>302-001139</v>
      </c>
      <c r="C25" s="3" t="str">
        <f>VLOOKUP(A25,[1]备料总表!$B:$I,2,0)</f>
        <v>S主板920X02K-5251K 4*(920,48C),4*GE</v>
      </c>
      <c r="D25" s="1" t="str">
        <f>VLOOKUP(A25,[1]备料总表!$B:$I,4,0)</f>
        <v>主板</v>
      </c>
      <c r="E25" s="2" t="s">
        <v>45</v>
      </c>
      <c r="F25" s="4">
        <v>1</v>
      </c>
      <c r="G25" s="1" t="s">
        <v>44</v>
      </c>
      <c r="H25" s="3" t="str">
        <f>VLOOKUP(B25,[2]各库区库存!$A:$B,2,0)</f>
        <v>302-001139</v>
      </c>
    </row>
    <row r="26" spans="1:8" s="1" customFormat="1" hidden="1">
      <c r="A26" s="1" t="s">
        <v>40</v>
      </c>
      <c r="B26" s="2" t="str">
        <f t="shared" si="0"/>
        <v>302-001139</v>
      </c>
      <c r="C26" s="3" t="str">
        <f>VLOOKUP(A26,[1]备料总表!$B:$I,2,0)</f>
        <v>S主板920X02K-5251K 4*(920,48C),4*GE</v>
      </c>
      <c r="D26" s="1" t="str">
        <f>VLOOKUP(A26,[1]备料总表!$B:$I,4,0)</f>
        <v>主板</v>
      </c>
      <c r="E26" s="2" t="s">
        <v>30</v>
      </c>
      <c r="F26" s="4">
        <v>1</v>
      </c>
      <c r="G26" s="1" t="s">
        <v>46</v>
      </c>
      <c r="H26" s="3" t="str">
        <f>VLOOKUP(B26,[2]各库区库存!$A:$B,2,0)</f>
        <v>302-001139</v>
      </c>
    </row>
    <row r="27" spans="1:8" s="1" customFormat="1" hidden="1">
      <c r="A27" s="1" t="s">
        <v>40</v>
      </c>
      <c r="B27" s="2" t="str">
        <f t="shared" si="0"/>
        <v>302-001139</v>
      </c>
      <c r="C27" s="3" t="str">
        <f>VLOOKUP(A27,[1]备料总表!$B:$I,2,0)</f>
        <v>S主板920X02K-5251K 4*(920,48C),4*GE</v>
      </c>
      <c r="D27" s="1" t="str">
        <f>VLOOKUP(A27,[1]备料总表!$B:$I,4,0)</f>
        <v>主板</v>
      </c>
      <c r="E27" s="2" t="s">
        <v>47</v>
      </c>
      <c r="F27" s="4">
        <v>1</v>
      </c>
      <c r="G27" s="1" t="s">
        <v>44</v>
      </c>
      <c r="H27" s="3" t="str">
        <f>VLOOKUP(B27,[2]各库区库存!$A:$B,2,0)</f>
        <v>302-001139</v>
      </c>
    </row>
    <row r="28" spans="1:8" s="1" customFormat="1" hidden="1">
      <c r="A28" s="1" t="s">
        <v>40</v>
      </c>
      <c r="B28" s="2" t="str">
        <f t="shared" si="0"/>
        <v>302-001139</v>
      </c>
      <c r="C28" s="3" t="str">
        <f>VLOOKUP(A28,[1]备料总表!$B:$I,2,0)</f>
        <v>S主板920X02K-5251K 4*(920,48C),4*GE</v>
      </c>
      <c r="D28" s="1" t="str">
        <f>VLOOKUP(A28,[1]备料总表!$B:$I,4,0)</f>
        <v>主板</v>
      </c>
      <c r="E28" s="2" t="s">
        <v>48</v>
      </c>
      <c r="F28" s="4">
        <v>1</v>
      </c>
      <c r="G28" s="1" t="s">
        <v>44</v>
      </c>
      <c r="H28" s="3" t="str">
        <f>VLOOKUP(B28,[2]各库区库存!$A:$B,2,0)</f>
        <v>302-001139</v>
      </c>
    </row>
    <row r="29" spans="1:8" s="1" customFormat="1" hidden="1">
      <c r="A29" s="1" t="s">
        <v>40</v>
      </c>
      <c r="B29" s="2" t="str">
        <f t="shared" si="0"/>
        <v>302-001139</v>
      </c>
      <c r="C29" s="3" t="str">
        <f>VLOOKUP(A29,[1]备料总表!$B:$I,2,0)</f>
        <v>S主板920X02K-5251K 4*(920,48C),4*GE</v>
      </c>
      <c r="D29" s="1" t="str">
        <f>VLOOKUP(A29,[1]备料总表!$B:$I,4,0)</f>
        <v>主板</v>
      </c>
      <c r="E29" s="2" t="s">
        <v>49</v>
      </c>
      <c r="F29" s="4">
        <v>1</v>
      </c>
      <c r="G29" s="1" t="s">
        <v>50</v>
      </c>
      <c r="H29" s="3" t="str">
        <f>VLOOKUP(B29,[2]各库区库存!$A:$B,2,0)</f>
        <v>302-001139</v>
      </c>
    </row>
    <row r="30" spans="1:8" s="1" customFormat="1" hidden="1">
      <c r="A30" s="1" t="s">
        <v>40</v>
      </c>
      <c r="B30" s="2" t="str">
        <f t="shared" si="0"/>
        <v>302-001139</v>
      </c>
      <c r="C30" s="3" t="str">
        <f>VLOOKUP(A30,[1]备料总表!$B:$I,2,0)</f>
        <v>S主板920X02K-5251K 4*(920,48C),4*GE</v>
      </c>
      <c r="D30" s="1" t="str">
        <f>VLOOKUP(A30,[1]备料总表!$B:$I,4,0)</f>
        <v>主板</v>
      </c>
      <c r="E30" s="2" t="s">
        <v>28</v>
      </c>
      <c r="F30" s="4">
        <v>1</v>
      </c>
      <c r="G30" s="1" t="s">
        <v>51</v>
      </c>
      <c r="H30" s="3" t="str">
        <f>VLOOKUP(B30,[2]各库区库存!$A:$B,2,0)</f>
        <v>302-001139</v>
      </c>
    </row>
    <row r="31" spans="1:8" s="1" customFormat="1" hidden="1">
      <c r="A31" s="1" t="s">
        <v>40</v>
      </c>
      <c r="B31" s="2" t="str">
        <f t="shared" si="0"/>
        <v>302-001139</v>
      </c>
      <c r="C31" s="3" t="str">
        <f>VLOOKUP(A31,[1]备料总表!$B:$I,2,0)</f>
        <v>S主板920X02K-5251K 4*(920,48C),4*GE</v>
      </c>
      <c r="D31" s="1" t="str">
        <f>VLOOKUP(A31,[1]备料总表!$B:$I,4,0)</f>
        <v>主板</v>
      </c>
      <c r="E31" s="2" t="s">
        <v>39</v>
      </c>
      <c r="F31" s="4">
        <v>1</v>
      </c>
      <c r="G31" s="1" t="s">
        <v>52</v>
      </c>
      <c r="H31" s="3" t="str">
        <f>VLOOKUP(B31,[2]各库区库存!$A:$B,2,0)</f>
        <v>302-001139</v>
      </c>
    </row>
    <row r="32" spans="1:8" s="1" customFormat="1" hidden="1">
      <c r="A32" s="1" t="s">
        <v>40</v>
      </c>
      <c r="B32" s="2" t="str">
        <f t="shared" si="0"/>
        <v>302-001139</v>
      </c>
      <c r="C32" s="3" t="str">
        <f>VLOOKUP(A32,[1]备料总表!$B:$I,2,0)</f>
        <v>S主板920X02K-5251K 4*(920,48C),4*GE</v>
      </c>
      <c r="D32" s="1" t="str">
        <f>VLOOKUP(A32,[1]备料总表!$B:$I,4,0)</f>
        <v>主板</v>
      </c>
      <c r="E32" s="2" t="s">
        <v>53</v>
      </c>
      <c r="F32" s="4">
        <v>1</v>
      </c>
      <c r="G32" s="1" t="s">
        <v>54</v>
      </c>
      <c r="H32" s="3" t="str">
        <f>VLOOKUP(B32,[2]各库区库存!$A:$B,2,0)</f>
        <v>302-001139</v>
      </c>
    </row>
    <row r="33" spans="1:8" s="1" customFormat="1" hidden="1">
      <c r="A33" s="1" t="s">
        <v>40</v>
      </c>
      <c r="B33" s="2" t="str">
        <f t="shared" si="0"/>
        <v>302-001139</v>
      </c>
      <c r="C33" s="3" t="str">
        <f>VLOOKUP(A33,[1]备料总表!$B:$I,2,0)</f>
        <v>S主板920X02K-5251K 4*(920,48C),4*GE</v>
      </c>
      <c r="D33" s="1" t="str">
        <f>VLOOKUP(A33,[1]备料总表!$B:$I,4,0)</f>
        <v>主板</v>
      </c>
      <c r="E33" s="2" t="s">
        <v>55</v>
      </c>
      <c r="F33" s="4">
        <v>1</v>
      </c>
      <c r="G33" s="1" t="s">
        <v>56</v>
      </c>
      <c r="H33" s="3" t="str">
        <f>VLOOKUP(B33,[2]各库区库存!$A:$B,2,0)</f>
        <v>302-001139</v>
      </c>
    </row>
    <row r="34" spans="1:8" s="1" customFormat="1" hidden="1">
      <c r="A34" s="1" t="s">
        <v>57</v>
      </c>
      <c r="B34" s="2" t="str">
        <f t="shared" si="0"/>
        <v>302-001823</v>
      </c>
      <c r="C34" s="3" t="str">
        <f>VLOOKUP(A34,[1]备料总表!$B:$I,2,0)</f>
        <v>低速信号线-主板到电源转接板-0.2m</v>
      </c>
      <c r="D34" s="1" t="str">
        <f>VLOOKUP(A34,[1]备料总表!$B:$I,4,0)</f>
        <v>线缆</v>
      </c>
      <c r="E34" s="2" t="s">
        <v>22</v>
      </c>
      <c r="F34" s="4">
        <v>1</v>
      </c>
      <c r="G34" s="1" t="s">
        <v>58</v>
      </c>
      <c r="H34" s="3" t="str">
        <f>VLOOKUP(B34,[2]各库区库存!$A:$B,2,0)</f>
        <v>302-001823</v>
      </c>
    </row>
    <row r="35" spans="1:8" s="1" customFormat="1" hidden="1">
      <c r="A35" s="1" t="s">
        <v>59</v>
      </c>
      <c r="B35" s="2" t="str">
        <f t="shared" si="0"/>
        <v>302-001824</v>
      </c>
      <c r="C35" s="3" t="str">
        <f>VLOOKUP(A35,[1]备料总表!$B:$I,2,0)</f>
        <v>电源线-主板到电源转接板-0.18m</v>
      </c>
      <c r="D35" s="1" t="str">
        <f>VLOOKUP(A35,[1]备料总表!$B:$I,4,0)</f>
        <v>线缆</v>
      </c>
      <c r="E35" s="2" t="s">
        <v>22</v>
      </c>
      <c r="F35" s="4">
        <v>1</v>
      </c>
      <c r="G35" s="1" t="s">
        <v>58</v>
      </c>
      <c r="H35" s="3" t="str">
        <f>VLOOKUP(B35,[2]各库区库存!$A:$B,2,0)</f>
        <v>302-001824</v>
      </c>
    </row>
    <row r="36" spans="1:8" s="1" customFormat="1" hidden="1">
      <c r="A36" s="1" t="s">
        <v>60</v>
      </c>
      <c r="B36" s="2" t="str">
        <f t="shared" si="0"/>
        <v>302-001825</v>
      </c>
      <c r="C36" s="3" t="str">
        <f>VLOOKUP(A36,[1]备料总表!$B:$I,2,0)</f>
        <v>电源接口板-IT21IPWA-1*2</v>
      </c>
      <c r="D36" s="1" t="str">
        <f>VLOOKUP(A36,[1]备料总表!$B:$I,4,0)</f>
        <v>电源背板</v>
      </c>
      <c r="E36" s="2" t="s">
        <v>22</v>
      </c>
      <c r="F36" s="4">
        <v>1</v>
      </c>
      <c r="G36" s="1" t="s">
        <v>58</v>
      </c>
      <c r="H36" s="3" t="str">
        <f>VLOOKUP(B36,[2]各库区库存!$A:$B,2,0)</f>
        <v>302-001825</v>
      </c>
    </row>
    <row r="37" spans="1:8" s="1" customFormat="1" hidden="1">
      <c r="A37" s="1" t="s">
        <v>61</v>
      </c>
      <c r="B37" s="2" t="str">
        <f t="shared" si="0"/>
        <v>302-001828</v>
      </c>
      <c r="C37" s="3" t="str">
        <f>VLOOKUP(A37,[1]备料总表!$B:$I,2,0)</f>
        <v>电源线-转接板到前置背板-0.12m</v>
      </c>
      <c r="D37" s="1" t="str">
        <f>VLOOKUP(A37,[1]备料总表!$B:$I,4,0)</f>
        <v>线缆</v>
      </c>
      <c r="E37" s="2" t="s">
        <v>22</v>
      </c>
      <c r="F37" s="4">
        <v>1</v>
      </c>
      <c r="G37" s="1" t="s">
        <v>58</v>
      </c>
      <c r="H37" s="3" t="str">
        <f>VLOOKUP(B37,[2]各库区库存!$A:$B,2,0)</f>
        <v>302-001828</v>
      </c>
    </row>
    <row r="38" spans="1:8" s="1" customFormat="1" hidden="1">
      <c r="A38" s="1" t="s">
        <v>62</v>
      </c>
      <c r="B38" s="2" t="str">
        <f t="shared" si="0"/>
        <v>302-001890</v>
      </c>
      <c r="C38" s="3" t="str">
        <f>VLOOKUP(A38,[1]备料总表!$B:$I,2,0)</f>
        <v>3*16X SLOT(PCIE X8)RISER1&amp;2模组-VF</v>
      </c>
      <c r="D38" s="1" t="str">
        <f>VLOOKUP(A38,[1]备料总表!$B:$I,4,0)</f>
        <v>Riser模组</v>
      </c>
      <c r="E38" s="2" t="s">
        <v>9</v>
      </c>
      <c r="F38" s="4">
        <v>1</v>
      </c>
      <c r="G38" s="1" t="s">
        <v>63</v>
      </c>
      <c r="H38" s="3" t="str">
        <f>VLOOKUP(B38,[2]各库区库存!$A:$B,2,0)</f>
        <v>302-001890</v>
      </c>
    </row>
    <row r="39" spans="1:8" s="1" customFormat="1" hidden="1">
      <c r="A39" s="1" t="s">
        <v>64</v>
      </c>
      <c r="B39" s="2" t="str">
        <f t="shared" si="0"/>
        <v>302-002100</v>
      </c>
      <c r="C39" s="3" t="str">
        <f>VLOOKUP(A39,[1]备料总表!$B:$I,2,0)</f>
        <v>S电源线国标-PI弯公-C19直母-250V16A-3m-交流</v>
      </c>
      <c r="D39" s="1" t="str">
        <f>VLOOKUP(A39,[1]备料总表!$B:$I,4,0)</f>
        <v>电源线</v>
      </c>
      <c r="E39" s="2" t="s">
        <v>65</v>
      </c>
      <c r="F39" s="4">
        <v>1</v>
      </c>
      <c r="G39" s="1" t="s">
        <v>66</v>
      </c>
      <c r="H39" s="3" t="str">
        <f>VLOOKUP(B39,[2]各库区库存!$A:$B,2,0)</f>
        <v>302-002100</v>
      </c>
    </row>
    <row r="40" spans="1:8" s="1" customFormat="1" hidden="1">
      <c r="A40" s="1" t="s">
        <v>64</v>
      </c>
      <c r="B40" s="2" t="str">
        <f t="shared" si="0"/>
        <v>302-002100</v>
      </c>
      <c r="C40" s="3" t="str">
        <f>VLOOKUP(A40,[1]备料总表!$B:$I,2,0)</f>
        <v>S电源线国标-PI弯公-C19直母-250V16A-3m-交流</v>
      </c>
      <c r="D40" s="1" t="str">
        <f>VLOOKUP(A40,[1]备料总表!$B:$I,4,0)</f>
        <v>电源线</v>
      </c>
      <c r="E40" s="2" t="s">
        <v>67</v>
      </c>
      <c r="F40" s="4">
        <v>1</v>
      </c>
      <c r="G40" s="1" t="s">
        <v>68</v>
      </c>
      <c r="H40" s="3" t="str">
        <f>VLOOKUP(B40,[2]各库区库存!$A:$B,2,0)</f>
        <v>302-002100</v>
      </c>
    </row>
    <row r="41" spans="1:8" s="1" customFormat="1" hidden="1">
      <c r="A41" s="1" t="s">
        <v>69</v>
      </c>
      <c r="B41" s="2" t="str">
        <f t="shared" si="0"/>
        <v>302-002110</v>
      </c>
      <c r="C41" s="3" t="str">
        <f>VLOOKUP(A41,[1]备料总表!$B:$I,2,0)</f>
        <v>S电源线欧标-C20直公-C19直母-250V16A-3m-交流</v>
      </c>
      <c r="D41" s="1" t="str">
        <f>VLOOKUP(A41,[1]备料总表!$B:$I,4,0)</f>
        <v>电源线</v>
      </c>
      <c r="E41" s="2" t="s">
        <v>65</v>
      </c>
      <c r="F41" s="4">
        <v>1</v>
      </c>
      <c r="G41" s="1" t="s">
        <v>66</v>
      </c>
      <c r="H41" s="3" t="str">
        <f>VLOOKUP(B41,[2]各库区库存!$A:$B,2,0)</f>
        <v>302-002110</v>
      </c>
    </row>
    <row r="42" spans="1:8" s="1" customFormat="1" hidden="1">
      <c r="A42" s="1" t="s">
        <v>69</v>
      </c>
      <c r="B42" s="2" t="str">
        <f t="shared" si="0"/>
        <v>302-002110</v>
      </c>
      <c r="C42" s="3" t="str">
        <f>VLOOKUP(A42,[1]备料总表!$B:$I,2,0)</f>
        <v>S电源线欧标-C20直公-C19直母-250V16A-3m-交流</v>
      </c>
      <c r="D42" s="1" t="str">
        <f>VLOOKUP(A42,[1]备料总表!$B:$I,4,0)</f>
        <v>电源线</v>
      </c>
      <c r="E42" s="2" t="s">
        <v>67</v>
      </c>
      <c r="F42" s="4">
        <v>1</v>
      </c>
      <c r="G42" s="1" t="s">
        <v>68</v>
      </c>
      <c r="H42" s="3" t="str">
        <f>VLOOKUP(B42,[2]各库区库存!$A:$B,2,0)</f>
        <v>302-002110</v>
      </c>
    </row>
    <row r="43" spans="1:8" s="1" customFormat="1" hidden="1">
      <c r="A43" s="1" t="s">
        <v>70</v>
      </c>
      <c r="B43" s="2" t="str">
        <f t="shared" si="0"/>
        <v>302-002111</v>
      </c>
      <c r="C43" s="3" t="str">
        <f>VLOOKUP(A43,[1]备料总表!$B:$I,2,0)</f>
        <v>S电源线国标-C14 PDU直公-C13直母-250V10A-3M-交流</v>
      </c>
      <c r="D43" s="1" t="str">
        <f>VLOOKUP(A43,[1]备料总表!$B:$I,4,0)</f>
        <v>电源线</v>
      </c>
      <c r="E43" s="2" t="s">
        <v>71</v>
      </c>
      <c r="F43" s="4">
        <v>1</v>
      </c>
      <c r="G43" s="1" t="s">
        <v>72</v>
      </c>
      <c r="H43" s="3" t="str">
        <f>VLOOKUP(B43,[2]各库区库存!$A:$B,2,0)</f>
        <v>302-002111</v>
      </c>
    </row>
    <row r="44" spans="1:8" s="1" customFormat="1" hidden="1">
      <c r="A44" s="1" t="s">
        <v>73</v>
      </c>
      <c r="B44" s="2" t="str">
        <f t="shared" si="0"/>
        <v>302-002120</v>
      </c>
      <c r="C44" s="3" t="str">
        <f>VLOOKUP(A44,[1]备料总表!$B:$I,2,0)</f>
        <v>模组Riser2-2*16X SLOT (PCIE X8)</v>
      </c>
      <c r="D44" s="1" t="str">
        <f>VLOOKUP(A44,[1]备料总表!$B:$I,4,0)</f>
        <v>Riser模组</v>
      </c>
      <c r="E44" s="2" t="s">
        <v>16</v>
      </c>
      <c r="F44" s="4">
        <v>1</v>
      </c>
      <c r="G44" s="1" t="s">
        <v>74</v>
      </c>
      <c r="H44" s="3" t="str">
        <f>VLOOKUP(B44,[2]各库区库存!$A:$B,2,0)</f>
        <v>302-002120</v>
      </c>
    </row>
    <row r="45" spans="1:8" s="1" customFormat="1" hidden="1">
      <c r="A45" s="1" t="s">
        <v>73</v>
      </c>
      <c r="B45" s="2" t="str">
        <f t="shared" si="0"/>
        <v>302-002120</v>
      </c>
      <c r="C45" s="3" t="str">
        <f>VLOOKUP(A45,[1]备料总表!$B:$I,2,0)</f>
        <v>模组Riser2-2*16X SLOT (PCIE X8)</v>
      </c>
      <c r="D45" s="1" t="str">
        <f>VLOOKUP(A45,[1]备料总表!$B:$I,4,0)</f>
        <v>Riser模组</v>
      </c>
      <c r="E45" s="2" t="s">
        <v>22</v>
      </c>
      <c r="F45" s="4">
        <v>1</v>
      </c>
      <c r="G45" s="1" t="s">
        <v>75</v>
      </c>
      <c r="H45" s="3" t="str">
        <f>VLOOKUP(B45,[2]各库区库存!$A:$B,2,0)</f>
        <v>302-002120</v>
      </c>
    </row>
    <row r="46" spans="1:8" s="1" customFormat="1" hidden="1">
      <c r="A46" s="1" t="s">
        <v>76</v>
      </c>
      <c r="B46" s="2" t="str">
        <f t="shared" si="0"/>
        <v>302-002121</v>
      </c>
      <c r="C46" s="3" t="str">
        <f>VLOOKUP(A46,[1]备料总表!$B:$I,2,0)</f>
        <v>模组Riser3-2*16X SLOT (PCIE X8)</v>
      </c>
      <c r="D46" s="1" t="str">
        <f>VLOOKUP(A46,[1]备料总表!$B:$I,4,0)</f>
        <v>Riser模组</v>
      </c>
      <c r="E46" s="2" t="s">
        <v>16</v>
      </c>
      <c r="F46" s="4">
        <v>1</v>
      </c>
      <c r="G46" s="1" t="s">
        <v>74</v>
      </c>
      <c r="H46" s="3" t="str">
        <f>VLOOKUP(B46,[2]各库区库存!$A:$B,2,0)</f>
        <v>302-002121</v>
      </c>
    </row>
    <row r="47" spans="1:8" s="1" customFormat="1" hidden="1">
      <c r="A47" s="1" t="s">
        <v>76</v>
      </c>
      <c r="B47" s="2" t="str">
        <f t="shared" si="0"/>
        <v>302-002121</v>
      </c>
      <c r="C47" s="3" t="str">
        <f>VLOOKUP(A47,[1]备料总表!$B:$I,2,0)</f>
        <v>模组Riser3-2*16X SLOT (PCIE X8)</v>
      </c>
      <c r="D47" s="1" t="str">
        <f>VLOOKUP(A47,[1]备料总表!$B:$I,4,0)</f>
        <v>Riser模组</v>
      </c>
      <c r="E47" s="2" t="s">
        <v>22</v>
      </c>
      <c r="F47" s="4">
        <v>1</v>
      </c>
      <c r="G47" s="1" t="s">
        <v>75</v>
      </c>
      <c r="H47" s="3" t="str">
        <f>VLOOKUP(B47,[2]各库区库存!$A:$B,2,0)</f>
        <v>302-002121</v>
      </c>
    </row>
    <row r="48" spans="1:8" s="1" customFormat="1" hidden="1">
      <c r="A48" s="1" t="s">
        <v>77</v>
      </c>
      <c r="B48" s="2" t="str">
        <f t="shared" si="0"/>
        <v>302-002122</v>
      </c>
      <c r="C48" s="3" t="str">
        <f>VLOOKUP(A48,[1]备料总表!$B:$I,2,0)</f>
        <v>网卡TM272-2*100G-QSFP28-无模</v>
      </c>
      <c r="D48" s="1" t="str">
        <f>VLOOKUP(A48,[1]备料总表!$B:$I,4,0)</f>
        <v>网卡</v>
      </c>
      <c r="E48" s="2" t="s">
        <v>29</v>
      </c>
      <c r="F48" s="4">
        <v>1</v>
      </c>
      <c r="G48" s="1" t="s">
        <v>78</v>
      </c>
      <c r="H48" s="3" t="str">
        <f>VLOOKUP(B48,[2]各库区库存!$A:$B,2,0)</f>
        <v>302-002122</v>
      </c>
    </row>
    <row r="49" spans="1:8" s="1" customFormat="1" hidden="1">
      <c r="A49" s="1" t="s">
        <v>79</v>
      </c>
      <c r="B49" s="2" t="str">
        <f t="shared" si="0"/>
        <v>302-002538</v>
      </c>
      <c r="C49" s="3" t="str">
        <f>VLOOKUP(A49,[1]备料总表!$B:$I,2,0)</f>
        <v>RISER卡模组（8SAS+12NVMe机箱）</v>
      </c>
      <c r="D49" s="1" t="str">
        <f>VLOOKUP(A49,[1]备料总表!$B:$I,4,0)</f>
        <v>Riser模组</v>
      </c>
      <c r="E49" s="2" t="s">
        <v>33</v>
      </c>
      <c r="F49" s="4">
        <v>1</v>
      </c>
      <c r="G49" s="1" t="s">
        <v>80</v>
      </c>
      <c r="H49" s="3" t="str">
        <f>VLOOKUP(B49,[2]各库区库存!$A:$B,2,0)</f>
        <v>302-002538</v>
      </c>
    </row>
    <row r="50" spans="1:8" s="1" customFormat="1" hidden="1">
      <c r="A50" s="1" t="s">
        <v>79</v>
      </c>
      <c r="B50" s="2" t="str">
        <f t="shared" si="0"/>
        <v>302-002538</v>
      </c>
      <c r="C50" s="3" t="str">
        <f>VLOOKUP(A50,[1]备料总表!$B:$I,2,0)</f>
        <v>RISER卡模组（8SAS+12NVMe机箱）</v>
      </c>
      <c r="D50" s="1" t="str">
        <f>VLOOKUP(A50,[1]备料总表!$B:$I,4,0)</f>
        <v>Riser模组</v>
      </c>
      <c r="E50" s="2" t="s">
        <v>81</v>
      </c>
      <c r="F50" s="4">
        <v>1</v>
      </c>
      <c r="G50" s="1" t="s">
        <v>82</v>
      </c>
      <c r="H50" s="3" t="str">
        <f>VLOOKUP(B50,[2]各库区库存!$A:$B,2,0)</f>
        <v>302-002538</v>
      </c>
    </row>
    <row r="51" spans="1:8" s="1" customFormat="1" hidden="1">
      <c r="A51" s="1" t="s">
        <v>79</v>
      </c>
      <c r="B51" s="2" t="str">
        <f t="shared" si="0"/>
        <v>302-002538</v>
      </c>
      <c r="C51" s="3" t="str">
        <f>VLOOKUP(A51,[1]备料总表!$B:$I,2,0)</f>
        <v>RISER卡模组（8SAS+12NVMe机箱）</v>
      </c>
      <c r="D51" s="1" t="str">
        <f>VLOOKUP(A51,[1]备料总表!$B:$I,4,0)</f>
        <v>Riser模组</v>
      </c>
      <c r="E51" s="2" t="s">
        <v>83</v>
      </c>
      <c r="F51" s="4">
        <v>1</v>
      </c>
      <c r="G51" s="1" t="s">
        <v>84</v>
      </c>
      <c r="H51" s="3" t="str">
        <f>VLOOKUP(B51,[2]各库区库存!$A:$B,2,0)</f>
        <v>302-002538</v>
      </c>
    </row>
    <row r="52" spans="1:8" s="1" customFormat="1" hidden="1">
      <c r="A52" s="1" t="s">
        <v>85</v>
      </c>
      <c r="B52" s="2" t="str">
        <f t="shared" si="0"/>
        <v>302-002599</v>
      </c>
      <c r="C52" s="3" t="str">
        <f>VLOOKUP(A52,[1]备料总表!$B:$I,2,0)</f>
        <v>监控和告警电缆-信号电缆-0.23m（带卡扣无拉带）A924内部线缆</v>
      </c>
      <c r="D52" s="1" t="str">
        <f>VLOOKUP(A52,[1]备料总表!$B:$I,4,0)</f>
        <v>线缆</v>
      </c>
      <c r="E52" s="2" t="s">
        <v>86</v>
      </c>
      <c r="F52" s="4">
        <v>1</v>
      </c>
      <c r="G52" s="1" t="s">
        <v>87</v>
      </c>
      <c r="H52" s="3" t="str">
        <f>VLOOKUP(B52,[2]各库区库存!$A:$B,2,0)</f>
        <v>302-002599</v>
      </c>
    </row>
    <row r="53" spans="1:8" s="1" customFormat="1" hidden="1">
      <c r="A53" s="1" t="s">
        <v>85</v>
      </c>
      <c r="B53" s="2" t="str">
        <f t="shared" si="0"/>
        <v>302-002599</v>
      </c>
      <c r="C53" s="3" t="str">
        <f>VLOOKUP(A53,[1]备料总表!$B:$I,2,0)</f>
        <v>监控和告警电缆-信号电缆-0.23m（带卡扣无拉带）A924内部线缆</v>
      </c>
      <c r="D53" s="1" t="str">
        <f>VLOOKUP(A53,[1]备料总表!$B:$I,4,0)</f>
        <v>线缆</v>
      </c>
      <c r="E53" s="2" t="s">
        <v>67</v>
      </c>
      <c r="F53" s="4">
        <v>1</v>
      </c>
      <c r="G53" s="1" t="s">
        <v>68</v>
      </c>
      <c r="H53" s="3" t="str">
        <f>VLOOKUP(B53,[2]各库区库存!$A:$B,2,0)</f>
        <v>302-002599</v>
      </c>
    </row>
    <row r="54" spans="1:8" s="1" customFormat="1" hidden="1">
      <c r="A54" s="1" t="s">
        <v>88</v>
      </c>
      <c r="B54" s="2" t="str">
        <f t="shared" si="0"/>
        <v>302-002601</v>
      </c>
      <c r="C54" s="3" t="str">
        <f>VLOOKUP(A54,[1]备料总表!$B:$I,2,0)</f>
        <v>电源电缆-0.5/0.5/0.5m-A924内部信号线缆</v>
      </c>
      <c r="D54" s="1" t="str">
        <f>VLOOKUP(A54,[1]备料总表!$B:$I,4,0)</f>
        <v>线缆</v>
      </c>
      <c r="E54" s="2" t="s">
        <v>86</v>
      </c>
      <c r="F54" s="4">
        <v>1</v>
      </c>
      <c r="G54" s="1" t="s">
        <v>87</v>
      </c>
      <c r="H54" s="3" t="str">
        <f>VLOOKUP(B54,[2]各库区库存!$A:$B,2,0)</f>
        <v>302-002601</v>
      </c>
    </row>
    <row r="55" spans="1:8" s="1" customFormat="1" hidden="1">
      <c r="A55" s="1" t="s">
        <v>88</v>
      </c>
      <c r="B55" s="2" t="str">
        <f t="shared" si="0"/>
        <v>302-002601</v>
      </c>
      <c r="C55" s="3" t="str">
        <f>VLOOKUP(A55,[1]备料总表!$B:$I,2,0)</f>
        <v>电源电缆-0.5/0.5/0.5m-A924内部信号线缆</v>
      </c>
      <c r="D55" s="1" t="str">
        <f>VLOOKUP(A55,[1]备料总表!$B:$I,4,0)</f>
        <v>线缆</v>
      </c>
      <c r="E55" s="2" t="s">
        <v>67</v>
      </c>
      <c r="F55" s="4">
        <v>1</v>
      </c>
      <c r="G55" s="1" t="s">
        <v>68</v>
      </c>
      <c r="H55" s="3" t="str">
        <f>VLOOKUP(B55,[2]各库区库存!$A:$B,2,0)</f>
        <v>302-002601</v>
      </c>
    </row>
    <row r="56" spans="1:8" s="1" customFormat="1" hidden="1">
      <c r="A56" s="1" t="s">
        <v>89</v>
      </c>
      <c r="B56" s="2" t="str">
        <f t="shared" si="0"/>
        <v>302-002602</v>
      </c>
      <c r="C56" s="3" t="str">
        <f>VLOOKUP(A56,[1]备料总表!$B:$I,2,0)</f>
        <v>高速PCIe线缆-0.31/0.28/0.76/0.78m-A924四合一线缆</v>
      </c>
      <c r="D56" s="1" t="str">
        <f>VLOOKUP(A56,[1]备料总表!$B:$I,4,0)</f>
        <v>线缆</v>
      </c>
      <c r="E56" s="2" t="s">
        <v>29</v>
      </c>
      <c r="F56" s="4">
        <v>1</v>
      </c>
      <c r="G56" s="1" t="s">
        <v>75</v>
      </c>
      <c r="H56" s="3" t="str">
        <f>VLOOKUP(B56,[2]各库区库存!$A:$B,2,0)</f>
        <v>302-002602</v>
      </c>
    </row>
    <row r="57" spans="1:8" s="1" customFormat="1" hidden="1">
      <c r="A57" s="1" t="s">
        <v>90</v>
      </c>
      <c r="B57" s="2" t="str">
        <f t="shared" si="0"/>
        <v>302-002603</v>
      </c>
      <c r="C57" s="3" t="str">
        <f>VLOOKUP(A57,[1]备料总表!$B:$I,2,0)</f>
        <v>高速PCIe线缆-0.5/0.7/0.84/0.95m-A924四合一线缆</v>
      </c>
      <c r="D57" s="1" t="str">
        <f>VLOOKUP(A57,[1]备料总表!$B:$I,4,0)</f>
        <v>线缆</v>
      </c>
      <c r="E57" s="2" t="s">
        <v>29</v>
      </c>
      <c r="F57" s="4">
        <v>1</v>
      </c>
      <c r="G57" s="1" t="s">
        <v>74</v>
      </c>
      <c r="H57" s="3" t="str">
        <f>VLOOKUP(B57,[2]各库区库存!$A:$B,2,0)</f>
        <v>302-002603</v>
      </c>
    </row>
    <row r="58" spans="1:8" s="1" customFormat="1" hidden="1">
      <c r="A58" s="1" t="s">
        <v>91</v>
      </c>
      <c r="B58" s="2" t="str">
        <f t="shared" si="0"/>
        <v>302-002604</v>
      </c>
      <c r="C58" s="3" t="str">
        <f>VLOOKUP(A58,[1]备料总表!$B:$I,2,0)</f>
        <v>高速PCIe线缆-1/0.65/0.65/0.75m-A924四合一线缆 800-9000 4合1线缆</v>
      </c>
      <c r="D58" s="1" t="str">
        <f>VLOOKUP(A58,[1]备料总表!$B:$I,4,0)</f>
        <v>线缆</v>
      </c>
      <c r="E58" s="2" t="s">
        <v>81</v>
      </c>
      <c r="F58" s="6">
        <v>1</v>
      </c>
      <c r="G58" s="1" t="s">
        <v>92</v>
      </c>
      <c r="H58" s="3" t="e">
        <f>VLOOKUP(B58,[2]各库区库存!$A:$B,2,0)</f>
        <v>#N/A</v>
      </c>
    </row>
    <row r="59" spans="1:8" s="1" customFormat="1" hidden="1">
      <c r="A59" s="1" t="s">
        <v>93</v>
      </c>
      <c r="B59" s="2" t="str">
        <f t="shared" si="0"/>
        <v>302-002605</v>
      </c>
      <c r="C59" s="3" t="str">
        <f>VLOOKUP(A59,[1]备料总表!$B:$I,2,0)</f>
        <v>高速PCIe线缆-0.44/0.6/0.3/0.35m-A924四合一线缆</v>
      </c>
      <c r="D59" s="1" t="str">
        <f>VLOOKUP(A59,[1]备料总表!$B:$I,4,0)</f>
        <v>线缆</v>
      </c>
      <c r="E59" s="2" t="s">
        <v>29</v>
      </c>
      <c r="F59" s="4">
        <v>1</v>
      </c>
      <c r="G59" s="1" t="s">
        <v>74</v>
      </c>
      <c r="H59" s="3" t="str">
        <f>VLOOKUP(B59,[2]各库区库存!$A:$B,2,0)</f>
        <v>302-002605</v>
      </c>
    </row>
    <row r="60" spans="1:8" s="1" customFormat="1" hidden="1">
      <c r="A60" s="1" t="s">
        <v>94</v>
      </c>
      <c r="B60" s="2" t="str">
        <f t="shared" si="0"/>
        <v>302-002608</v>
      </c>
      <c r="C60" s="3" t="str">
        <f>VLOOKUP(A60,[1]备料总表!$B:$I,2,0)</f>
        <v>功能模块-Atlas-IT21BP4A02-铜排框模块</v>
      </c>
      <c r="D60" s="1" t="str">
        <f>VLOOKUP(A60,[1]备料总表!$B:$I,4,0)</f>
        <v>其他部件</v>
      </c>
      <c r="E60" s="2" t="s">
        <v>95</v>
      </c>
      <c r="F60" s="4">
        <v>1</v>
      </c>
      <c r="G60" s="1" t="s">
        <v>96</v>
      </c>
      <c r="H60" s="3" t="str">
        <f>VLOOKUP(B60,[2]各库区库存!$A:$B,2,0)</f>
        <v>302-002608</v>
      </c>
    </row>
    <row r="61" spans="1:8" s="1" customFormat="1" hidden="1">
      <c r="A61" s="1" t="s">
        <v>94</v>
      </c>
      <c r="B61" s="2" t="str">
        <f t="shared" si="0"/>
        <v>302-002608</v>
      </c>
      <c r="C61" s="3" t="str">
        <f>VLOOKUP(A61,[1]备料总表!$B:$I,2,0)</f>
        <v>功能模块-Atlas-IT21BP4A02-铜排框模块</v>
      </c>
      <c r="D61" s="1" t="str">
        <f>VLOOKUP(A61,[1]备料总表!$B:$I,4,0)</f>
        <v>其他部件</v>
      </c>
      <c r="E61" s="2" t="s">
        <v>86</v>
      </c>
      <c r="F61" s="4">
        <v>1</v>
      </c>
      <c r="G61" s="1" t="s">
        <v>87</v>
      </c>
      <c r="H61" s="3" t="str">
        <f>VLOOKUP(B61,[2]各库区库存!$A:$B,2,0)</f>
        <v>302-002608</v>
      </c>
    </row>
    <row r="62" spans="1:8" s="1" customFormat="1" hidden="1">
      <c r="A62" s="1" t="s">
        <v>94</v>
      </c>
      <c r="B62" s="2" t="str">
        <f t="shared" si="0"/>
        <v>302-002608</v>
      </c>
      <c r="C62" s="3" t="str">
        <f>VLOOKUP(A62,[1]备料总表!$B:$I,2,0)</f>
        <v>功能模块-Atlas-IT21BP4A02-铜排框模块</v>
      </c>
      <c r="D62" s="1" t="str">
        <f>VLOOKUP(A62,[1]备料总表!$B:$I,4,0)</f>
        <v>其他部件</v>
      </c>
      <c r="E62" s="2" t="s">
        <v>65</v>
      </c>
      <c r="F62" s="4">
        <v>1</v>
      </c>
      <c r="G62" s="1" t="s">
        <v>66</v>
      </c>
      <c r="H62" s="3" t="str">
        <f>VLOOKUP(B62,[2]各库区库存!$A:$B,2,0)</f>
        <v>302-002608</v>
      </c>
    </row>
    <row r="63" spans="1:8" s="1" customFormat="1" hidden="1">
      <c r="A63" s="1" t="s">
        <v>94</v>
      </c>
      <c r="B63" s="2" t="str">
        <f t="shared" si="0"/>
        <v>302-002608</v>
      </c>
      <c r="C63" s="3" t="str">
        <f>VLOOKUP(A63,[1]备料总表!$B:$I,2,0)</f>
        <v>功能模块-Atlas-IT21BP4A02-铜排框模块</v>
      </c>
      <c r="D63" s="1" t="str">
        <f>VLOOKUP(A63,[1]备料总表!$B:$I,4,0)</f>
        <v>其他部件</v>
      </c>
      <c r="E63" s="2" t="s">
        <v>67</v>
      </c>
      <c r="F63" s="4">
        <v>1</v>
      </c>
      <c r="G63" s="1" t="s">
        <v>68</v>
      </c>
      <c r="H63" s="3" t="str">
        <f>VLOOKUP(B63,[2]各库区库存!$A:$B,2,0)</f>
        <v>302-002608</v>
      </c>
    </row>
    <row r="64" spans="1:8" s="1" customFormat="1" hidden="1">
      <c r="A64" s="1" t="s">
        <v>97</v>
      </c>
      <c r="B64" s="2" t="str">
        <f t="shared" si="0"/>
        <v>302-002617</v>
      </c>
      <c r="C64" s="3" t="str">
        <f>VLOOKUP(A64,[1]备料总表!$B:$I,2,0)</f>
        <v>Ascend910B AI风冷业务板C01-IT21SD4C01</v>
      </c>
      <c r="D64" s="1" t="str">
        <f>VLOOKUP(A64,[1]备料总表!$B:$I,4,0)</f>
        <v>主板</v>
      </c>
      <c r="E64" s="2" t="s">
        <v>29</v>
      </c>
      <c r="F64" s="4">
        <v>1</v>
      </c>
      <c r="G64" s="1" t="s">
        <v>74</v>
      </c>
      <c r="H64" s="3" t="str">
        <f>VLOOKUP(B64,[2]各库区库存!$A:$B,2,0)</f>
        <v>302-002617</v>
      </c>
    </row>
    <row r="65" spans="1:8" s="1" customFormat="1" hidden="1">
      <c r="A65" s="1" t="s">
        <v>98</v>
      </c>
      <c r="B65" s="2" t="str">
        <f t="shared" si="0"/>
        <v>302-002617</v>
      </c>
      <c r="C65" s="3" t="str">
        <f>VLOOKUP(A65,[1]备料总表!$B:$I,2,0)</f>
        <v>Ascend910B AI风冷业务板C01-IT21SD4C01</v>
      </c>
      <c r="D65" s="1" t="str">
        <f>VLOOKUP(A65,[1]备料总表!$B:$I,4,0)</f>
        <v>主板</v>
      </c>
      <c r="E65" s="2" t="s">
        <v>99</v>
      </c>
      <c r="F65" s="4">
        <v>1</v>
      </c>
      <c r="G65" s="1" t="s">
        <v>100</v>
      </c>
      <c r="H65" s="3" t="str">
        <f>VLOOKUP(B65,[2]各库区库存!$A:$B,2,0)</f>
        <v>302-002617</v>
      </c>
    </row>
    <row r="66" spans="1:8" s="1" customFormat="1" hidden="1">
      <c r="A66" s="1" t="s">
        <v>101</v>
      </c>
      <c r="B66" s="2" t="str">
        <f t="shared" si="0"/>
        <v>302-002625</v>
      </c>
      <c r="C66" s="3" t="str">
        <f>VLOOKUP(A66,[1]备料总表!$B:$I,2,0)</f>
        <v>功能模块-Atlas-IT21BP4A01-电源框模块</v>
      </c>
      <c r="D66" s="1" t="str">
        <f>VLOOKUP(A66,[1]备料总表!$B:$I,4,0)</f>
        <v>电源</v>
      </c>
      <c r="E66" s="2" t="s">
        <v>95</v>
      </c>
      <c r="F66" s="4">
        <v>1</v>
      </c>
      <c r="G66" s="1" t="s">
        <v>96</v>
      </c>
      <c r="H66" s="3" t="str">
        <f>VLOOKUP(B66,[2]各库区库存!$A:$B,2,0)</f>
        <v>302-002625</v>
      </c>
    </row>
    <row r="67" spans="1:8" s="1" customFormat="1" hidden="1">
      <c r="A67" s="1" t="s">
        <v>101</v>
      </c>
      <c r="B67" s="2" t="str">
        <f t="shared" ref="B67:B111" si="1">A67</f>
        <v>302-002625</v>
      </c>
      <c r="C67" s="3" t="str">
        <f>VLOOKUP(A67,[1]备料总表!$B:$I,2,0)</f>
        <v>功能模块-Atlas-IT21BP4A01-电源框模块</v>
      </c>
      <c r="D67" s="1" t="str">
        <f>VLOOKUP(A67,[1]备料总表!$B:$I,4,0)</f>
        <v>电源</v>
      </c>
      <c r="E67" s="2" t="s">
        <v>86</v>
      </c>
      <c r="F67" s="4">
        <v>1</v>
      </c>
      <c r="G67" s="1" t="s">
        <v>87</v>
      </c>
      <c r="H67" s="3" t="str">
        <f>VLOOKUP(B67,[2]各库区库存!$A:$B,2,0)</f>
        <v>302-002625</v>
      </c>
    </row>
    <row r="68" spans="1:8" s="1" customFormat="1" hidden="1">
      <c r="A68" s="1" t="s">
        <v>101</v>
      </c>
      <c r="B68" s="2" t="str">
        <f t="shared" si="1"/>
        <v>302-002625</v>
      </c>
      <c r="C68" s="3" t="str">
        <f>VLOOKUP(A68,[1]备料总表!$B:$I,2,0)</f>
        <v>功能模块-Atlas-IT21BP4A01-电源框模块</v>
      </c>
      <c r="D68" s="1" t="str">
        <f>VLOOKUP(A68,[1]备料总表!$B:$I,4,0)</f>
        <v>电源</v>
      </c>
      <c r="E68" s="2" t="s">
        <v>65</v>
      </c>
      <c r="F68" s="4">
        <v>1</v>
      </c>
      <c r="G68" s="1" t="s">
        <v>66</v>
      </c>
      <c r="H68" s="3" t="str">
        <f>VLOOKUP(B68,[2]各库区库存!$A:$B,2,0)</f>
        <v>302-002625</v>
      </c>
    </row>
    <row r="69" spans="1:8" s="1" customFormat="1" hidden="1">
      <c r="A69" s="1" t="s">
        <v>101</v>
      </c>
      <c r="B69" s="2" t="str">
        <f t="shared" si="1"/>
        <v>302-002625</v>
      </c>
      <c r="C69" s="3" t="str">
        <f>VLOOKUP(A69,[1]备料总表!$B:$I,2,0)</f>
        <v>功能模块-Atlas-IT21BP4A01-电源框模块</v>
      </c>
      <c r="D69" s="1" t="str">
        <f>VLOOKUP(A69,[1]备料总表!$B:$I,4,0)</f>
        <v>电源</v>
      </c>
      <c r="E69" s="2" t="s">
        <v>67</v>
      </c>
      <c r="F69" s="4">
        <v>1</v>
      </c>
      <c r="G69" s="1" t="s">
        <v>68</v>
      </c>
      <c r="H69" s="3" t="str">
        <f>VLOOKUP(B69,[2]各库区库存!$A:$B,2,0)</f>
        <v>302-002625</v>
      </c>
    </row>
    <row r="70" spans="1:8" s="1" customFormat="1" hidden="1">
      <c r="A70" s="1" t="s">
        <v>102</v>
      </c>
      <c r="B70" s="2" t="str">
        <f t="shared" si="1"/>
        <v>302-002633</v>
      </c>
      <c r="C70" s="3" t="str">
        <f>VLOOKUP(A70,[1]备料总表!$B:$I,2,0)</f>
        <v>高速PCIe线缆-0.91/0.93/0.52/0.49m-A924四合一线缆</v>
      </c>
      <c r="D70" s="1" t="str">
        <f>VLOOKUP(A70,[1]备料总表!$B:$I,4,0)</f>
        <v>线缆</v>
      </c>
      <c r="E70" s="2" t="s">
        <v>29</v>
      </c>
      <c r="F70" s="4">
        <v>1</v>
      </c>
      <c r="G70" s="1" t="s">
        <v>75</v>
      </c>
      <c r="H70" s="3" t="str">
        <f>VLOOKUP(B70,[2]各库区库存!$A:$B,2,0)</f>
        <v>302-002633</v>
      </c>
    </row>
    <row r="71" spans="1:8" s="1" customFormat="1" hidden="1">
      <c r="A71" s="1" t="s">
        <v>103</v>
      </c>
      <c r="B71" s="2" t="str">
        <f t="shared" si="1"/>
        <v>302-002639</v>
      </c>
      <c r="C71" s="3" t="str">
        <f>VLOOKUP(A71,[1]备料总表!$B:$I,2,0)</f>
        <v>S主板 S920X10-2*5252C（48C@2.6）-AD</v>
      </c>
      <c r="D71" s="1" t="str">
        <f>VLOOKUP(A71,[1]备料总表!$B:$I,4,0)</f>
        <v>主板</v>
      </c>
      <c r="E71" s="2" t="s">
        <v>12</v>
      </c>
      <c r="F71" s="4">
        <v>1</v>
      </c>
      <c r="G71" s="1" t="s">
        <v>104</v>
      </c>
      <c r="H71" s="3" t="str">
        <f>VLOOKUP(B71,[2]各库区库存!$A:$B,2,0)</f>
        <v>302-002639</v>
      </c>
    </row>
    <row r="72" spans="1:8" s="1" customFormat="1" hidden="1">
      <c r="A72" s="1" t="s">
        <v>105</v>
      </c>
      <c r="B72" s="2" t="str">
        <f t="shared" si="1"/>
        <v>302-002668</v>
      </c>
      <c r="C72" s="3" t="str">
        <f>VLOOKUP(A72,[1]备料总表!$B:$I,2,0)</f>
        <v>UBC线Slim 8X弯-直--16000MB/s-0.4m</v>
      </c>
      <c r="D72" s="1" t="str">
        <f>VLOOKUP(A72,[1]备料总表!$B:$I,4,0)</f>
        <v>线缆</v>
      </c>
      <c r="E72" s="2" t="s">
        <v>9</v>
      </c>
      <c r="F72" s="4">
        <v>1</v>
      </c>
      <c r="G72" s="1" t="s">
        <v>106</v>
      </c>
      <c r="H72" s="3" t="str">
        <f>VLOOKUP(B72,[2]各库区库存!$A:$B,2,0)</f>
        <v>302-002668</v>
      </c>
    </row>
    <row r="73" spans="1:8" s="1" customFormat="1" hidden="1">
      <c r="A73" s="1" t="s">
        <v>107</v>
      </c>
      <c r="B73" s="2" t="str">
        <f t="shared" si="1"/>
        <v>302-002683</v>
      </c>
      <c r="C73" s="3" t="str">
        <f>VLOOKUP(A73,[1]备料总表!$B:$I,2,0)</f>
        <v>A924-Hi1620 4P服务器风冷主板A</v>
      </c>
      <c r="D73" s="1" t="str">
        <f>VLOOKUP(A73,[1]备料总表!$B:$I,4,0)</f>
        <v>主板</v>
      </c>
      <c r="E73" s="2" t="s">
        <v>29</v>
      </c>
      <c r="F73" s="4">
        <v>1</v>
      </c>
      <c r="G73" s="1" t="s">
        <v>74</v>
      </c>
      <c r="H73" s="3" t="str">
        <f>VLOOKUP(B73,[2]各库区库存!$A:$B,2,0)</f>
        <v>302-002683</v>
      </c>
    </row>
    <row r="74" spans="1:8" s="1" customFormat="1" hidden="1">
      <c r="A74" s="1" t="s">
        <v>108</v>
      </c>
      <c r="B74" s="2" t="str">
        <f t="shared" si="1"/>
        <v>302-002685</v>
      </c>
      <c r="C74" s="3" t="str">
        <f>VLOOKUP(A74,[1]备料总表!$B:$I,2,0)</f>
        <v>S内存DDR4-32G-3200-4G*4Bit-RD HW</v>
      </c>
      <c r="D74" s="1" t="str">
        <f>VLOOKUP(A74,[1]备料总表!$B:$I,4,0)</f>
        <v>内存</v>
      </c>
      <c r="E74" s="2" t="s">
        <v>99</v>
      </c>
      <c r="F74" s="4">
        <v>1</v>
      </c>
      <c r="G74" s="1" t="s">
        <v>109</v>
      </c>
      <c r="H74" s="3" t="str">
        <f>VLOOKUP(B74,[2]各库区库存!$A:$B,2,0)</f>
        <v>302-002685</v>
      </c>
    </row>
    <row r="75" spans="1:8" s="1" customFormat="1" hidden="1">
      <c r="A75" s="1" t="s">
        <v>110</v>
      </c>
      <c r="B75" s="2" t="str">
        <f t="shared" si="1"/>
        <v>302-002710</v>
      </c>
      <c r="C75" s="3" t="str">
        <f>VLOOKUP(A75,[1]备料总表!$B:$I,2,0)</f>
        <v>TM281板载灵活网卡-25GE/10GE光口-4端口-SFP28(不含光模块)</v>
      </c>
      <c r="D75" s="1" t="str">
        <f>VLOOKUP(A75,[1]备料总表!$B:$I,4,0)</f>
        <v>灵活网卡</v>
      </c>
      <c r="E75" s="2" t="s">
        <v>55</v>
      </c>
      <c r="F75" s="4">
        <v>1</v>
      </c>
      <c r="G75" s="1" t="s">
        <v>111</v>
      </c>
      <c r="H75" s="3" t="str">
        <f>VLOOKUP(B75,[2]各库区库存!$A:$B,2,0)</f>
        <v>302-002710</v>
      </c>
    </row>
    <row r="76" spans="1:8" s="1" customFormat="1" hidden="1">
      <c r="A76" s="1" t="s">
        <v>110</v>
      </c>
      <c r="B76" s="2" t="str">
        <f t="shared" si="1"/>
        <v>302-002710</v>
      </c>
      <c r="C76" s="3" t="str">
        <f>VLOOKUP(A76,[1]备料总表!$B:$I,2,0)</f>
        <v>TM281板载灵活网卡-25GE/10GE光口-4端口-SFP28(不含光模块)</v>
      </c>
      <c r="D76" s="1" t="str">
        <f>VLOOKUP(A76,[1]备料总表!$B:$I,4,0)</f>
        <v>灵活网卡</v>
      </c>
      <c r="E76" s="2" t="s">
        <v>9</v>
      </c>
      <c r="F76" s="4">
        <v>1</v>
      </c>
      <c r="G76" s="1" t="s">
        <v>112</v>
      </c>
      <c r="H76" s="3" t="str">
        <f>VLOOKUP(B76,[2]各库区库存!$A:$B,2,0)</f>
        <v>302-002710</v>
      </c>
    </row>
    <row r="77" spans="1:8" s="1" customFormat="1" hidden="1">
      <c r="A77" s="1" t="s">
        <v>113</v>
      </c>
      <c r="B77" s="2" t="str">
        <f t="shared" si="1"/>
        <v>302-002751</v>
      </c>
      <c r="C77" s="3" t="str">
        <f>VLOOKUP(A77,[1]备料总表!$B:$I,2,0)</f>
        <v>电源电缆-1.5m-6mm^2-黄绿-(OT6-4)-H07Z-K-6/2黄绿</v>
      </c>
      <c r="D77" s="1" t="str">
        <f>VLOOKUP(A77,[1]备料总表!$B:$I,4,0)</f>
        <v>线缆</v>
      </c>
      <c r="E77" s="2" t="s">
        <v>81</v>
      </c>
      <c r="F77" s="6">
        <v>1</v>
      </c>
      <c r="G77" s="1" t="s">
        <v>92</v>
      </c>
      <c r="H77" s="3" t="e">
        <f>VLOOKUP(B77,[2]各库区库存!$A:$B,2,0)</f>
        <v>#N/A</v>
      </c>
    </row>
    <row r="78" spans="1:8" s="1" customFormat="1" hidden="1">
      <c r="A78" s="1" t="s">
        <v>114</v>
      </c>
      <c r="B78" s="2" t="str">
        <f t="shared" si="1"/>
        <v>302-002842</v>
      </c>
      <c r="C78" s="3" t="str">
        <f>VLOOKUP(A78,[1]备料总表!$B:$I,2,0)</f>
        <v>Atlas 300 Duo 推理卡双卡（附Riser1&amp;2模组 FHFL）</v>
      </c>
      <c r="D78" s="1" t="str">
        <f>VLOOKUP(A78,[1]备料总表!$B:$I,4,0)</f>
        <v>AI推理卡</v>
      </c>
      <c r="E78" s="2" t="s">
        <v>115</v>
      </c>
      <c r="F78" s="4">
        <v>1</v>
      </c>
      <c r="G78" s="1" t="s">
        <v>116</v>
      </c>
      <c r="H78" s="3" t="str">
        <f>VLOOKUP(B78,[2]各库区库存!$A:$B,2,0)</f>
        <v>302-002842</v>
      </c>
    </row>
    <row r="79" spans="1:8" s="1" customFormat="1" hidden="1">
      <c r="A79" s="1" t="s">
        <v>117</v>
      </c>
      <c r="B79" s="2" t="str">
        <f t="shared" si="1"/>
        <v>302-002842</v>
      </c>
      <c r="C79" s="3" t="str">
        <f>VLOOKUP(A79,[1]备料总表!$B:$I,2,0)</f>
        <v>Atlas 300 Duo 推理卡双卡（附Riser1&amp;2模组 FHFL）</v>
      </c>
      <c r="D79" s="1" t="str">
        <f>VLOOKUP(A79,[1]备料总表!$B:$I,4,0)</f>
        <v>AI推理卡</v>
      </c>
      <c r="E79" s="2" t="s">
        <v>29</v>
      </c>
      <c r="F79" s="4">
        <v>1</v>
      </c>
      <c r="G79" s="1" t="s">
        <v>118</v>
      </c>
      <c r="H79" s="3" t="str">
        <f>VLOOKUP(B79,[2]各库区库存!$A:$B,2,0)</f>
        <v>302-002842</v>
      </c>
    </row>
    <row r="80" spans="1:8" s="1" customFormat="1" hidden="1">
      <c r="A80" s="1" t="s">
        <v>119</v>
      </c>
      <c r="B80" s="2" t="str">
        <f t="shared" si="1"/>
        <v>302-002846</v>
      </c>
      <c r="C80" s="3" t="str">
        <f>VLOOKUP(A80,[1]备料总表!$B:$I,2,0)</f>
        <v>NVMeSSD D7436-7.68T-U.2 PCIe4-2.5 读取DERA</v>
      </c>
      <c r="D80" s="1" t="str">
        <f>VLOOKUP(A80,[1]备料总表!$B:$I,4,0)</f>
        <v>硬盘</v>
      </c>
      <c r="E80" s="2" t="s">
        <v>16</v>
      </c>
      <c r="F80" s="4">
        <v>1</v>
      </c>
      <c r="G80" s="1" t="s">
        <v>120</v>
      </c>
      <c r="H80" s="3" t="str">
        <f>VLOOKUP(B80,[2]各库区库存!$A:$B,2,0)</f>
        <v>302-002846</v>
      </c>
    </row>
    <row r="81" spans="1:8" s="1" customFormat="1" hidden="1">
      <c r="A81" s="1" t="s">
        <v>119</v>
      </c>
      <c r="B81" s="2" t="str">
        <f t="shared" si="1"/>
        <v>302-002846</v>
      </c>
      <c r="C81" s="3" t="str">
        <f>VLOOKUP(A81,[1]备料总表!$B:$I,2,0)</f>
        <v>NVMeSSD D7436-7.68T-U.2 PCIe4-2.5 读取DERA</v>
      </c>
      <c r="D81" s="1" t="str">
        <f>VLOOKUP(A81,[1]备料总表!$B:$I,4,0)</f>
        <v>硬盘</v>
      </c>
      <c r="E81" s="2" t="s">
        <v>121</v>
      </c>
      <c r="F81" s="4">
        <v>1</v>
      </c>
      <c r="G81" s="1" t="s">
        <v>122</v>
      </c>
      <c r="H81" s="3" t="str">
        <f>VLOOKUP(B81,[2]各库区库存!$A:$B,2,0)</f>
        <v>302-002846</v>
      </c>
    </row>
    <row r="82" spans="1:8" s="1" customFormat="1" hidden="1">
      <c r="A82" s="1" t="s">
        <v>123</v>
      </c>
      <c r="B82" s="2" t="str">
        <f t="shared" si="1"/>
        <v>302-002846</v>
      </c>
      <c r="C82" s="3" t="str">
        <f>VLOOKUP(A82,[1]备料总表!$B:$I,2,0)</f>
        <v>NVMeSSD D7436-7.68T-U.2 PCIe4-2.5 读取DERA</v>
      </c>
      <c r="D82" s="1" t="str">
        <f>VLOOKUP(A82,[1]备料总表!$B:$I,4,0)</f>
        <v>硬盘</v>
      </c>
      <c r="E82" s="2" t="s">
        <v>124</v>
      </c>
      <c r="F82" s="4">
        <v>1</v>
      </c>
      <c r="G82" s="1" t="s">
        <v>125</v>
      </c>
      <c r="H82" s="3" t="str">
        <f>VLOOKUP(B82,[2]各库区库存!$A:$B,2,0)</f>
        <v>302-002846</v>
      </c>
    </row>
    <row r="83" spans="1:8" s="1" customFormat="1" hidden="1">
      <c r="A83" s="1" t="s">
        <v>126</v>
      </c>
      <c r="B83" s="2" t="str">
        <f t="shared" si="1"/>
        <v>302-002898</v>
      </c>
      <c r="C83" s="3" t="str">
        <f>VLOOKUP(A83,[1]备料总表!$B:$I,2,0)</f>
        <v>CC RAID卡超级电容（SP686C）</v>
      </c>
      <c r="D83" s="1" t="str">
        <f>VLOOKUP(A83,[1]备料总表!$B:$I,4,0)</f>
        <v>超级电容</v>
      </c>
      <c r="E83" s="2" t="s">
        <v>22</v>
      </c>
      <c r="F83" s="4">
        <v>1</v>
      </c>
      <c r="G83" s="1" t="s">
        <v>127</v>
      </c>
      <c r="H83" s="3" t="str">
        <f>VLOOKUP(B83,[2]各库区库存!$A:$B,2,0)</f>
        <v>302-002898</v>
      </c>
    </row>
    <row r="84" spans="1:8" s="1" customFormat="1" hidden="1">
      <c r="A84" s="1" t="s">
        <v>128</v>
      </c>
      <c r="B84" s="2" t="str">
        <f t="shared" si="1"/>
        <v>302-002933</v>
      </c>
      <c r="C84" s="3" t="str">
        <f>VLOOKUP(A84,[1]备料总表!$B:$I,2,0)</f>
        <v>AI卡Atlas300I A2-PCIe4x16-32G-350W-DWFHFL</v>
      </c>
      <c r="D84" s="1" t="str">
        <f>VLOOKUP(A84,[1]备料总表!$B:$I,4,0)</f>
        <v>AI推理卡</v>
      </c>
      <c r="E84" s="2" t="s">
        <v>67</v>
      </c>
      <c r="F84" s="4">
        <v>1</v>
      </c>
      <c r="G84" s="1" t="s">
        <v>129</v>
      </c>
      <c r="H84" s="3" t="str">
        <f>VLOOKUP(B84,[2]各库区库存!$A:$B,2,0)</f>
        <v>302-002933</v>
      </c>
    </row>
    <row r="85" spans="1:8" s="1" customFormat="1" hidden="1">
      <c r="A85" s="1" t="s">
        <v>130</v>
      </c>
      <c r="B85" s="2" t="str">
        <f t="shared" si="1"/>
        <v>302-003041</v>
      </c>
      <c r="C85" s="3" t="str">
        <f>VLOOKUP(A85,[1]备料总表!$B:$I,2,0)</f>
        <v>海外-12*3.5英寸硬盘直通 2U标准机箱(白牌)-K22R-02</v>
      </c>
      <c r="D85" s="1" t="str">
        <f>VLOOKUP(A85,[1]备料总表!$B:$I,4,0)</f>
        <v>机箱/硬盘背板</v>
      </c>
      <c r="E85" s="2" t="s">
        <v>131</v>
      </c>
      <c r="F85" s="4">
        <v>1</v>
      </c>
      <c r="G85" s="1" t="s">
        <v>132</v>
      </c>
      <c r="H85" s="3" t="e">
        <f>VLOOKUP(B85,[2]各库区库存!$A:$B,2,0)</f>
        <v>#N/A</v>
      </c>
    </row>
    <row r="86" spans="1:8" s="1" customFormat="1" hidden="1">
      <c r="A86" s="7" t="s">
        <v>133</v>
      </c>
      <c r="B86" s="2" t="str">
        <f t="shared" si="1"/>
        <v>302-003070</v>
      </c>
      <c r="C86" s="3" t="str">
        <f>VLOOKUP(A86,[1]备料总表!$B:$I,2,0)</f>
        <v>海光7375,32核,64线程,2.0/3.0GHz,PCIE4.0x128,8</v>
      </c>
      <c r="D86" s="1" t="str">
        <f>VLOOKUP(A86,[1]备料总表!$B:$I,4,0)</f>
        <v>CPU</v>
      </c>
      <c r="E86" s="8" t="s">
        <v>29</v>
      </c>
      <c r="F86" s="9">
        <v>1</v>
      </c>
      <c r="G86" s="10" t="s">
        <v>134</v>
      </c>
      <c r="H86" s="3" t="e">
        <f>VLOOKUP(B86,[2]各库区库存!$A:$B,2,0)</f>
        <v>#N/A</v>
      </c>
    </row>
    <row r="87" spans="1:8" s="1" customFormat="1" hidden="1">
      <c r="A87" s="1" t="s">
        <v>135</v>
      </c>
      <c r="B87" s="2" t="str">
        <f t="shared" si="1"/>
        <v>302-003127</v>
      </c>
      <c r="C87" s="3" t="str">
        <f>VLOOKUP(A87,[1]备料总表!$B:$I,2,0)</f>
        <v>AI卡-Atlas 300I Duo-PCIe4x16-96GB-150W</v>
      </c>
      <c r="D87" s="1" t="str">
        <f>VLOOKUP(A87,[1]备料总表!$B:$I,4,0)</f>
        <v>AI推理卡</v>
      </c>
      <c r="E87" s="2" t="s">
        <v>16</v>
      </c>
      <c r="F87" s="4">
        <v>1</v>
      </c>
      <c r="G87" s="1" t="s">
        <v>136</v>
      </c>
      <c r="H87" s="3" t="str">
        <f>VLOOKUP(B87,[2]各库区库存!$A:$B,2,0)</f>
        <v>302-003127</v>
      </c>
    </row>
    <row r="88" spans="1:8" s="1" customFormat="1" hidden="1">
      <c r="A88" s="1" t="s">
        <v>137</v>
      </c>
      <c r="B88" s="2" t="str">
        <f t="shared" si="1"/>
        <v>302-003127</v>
      </c>
      <c r="C88" s="3" t="str">
        <f>VLOOKUP(A88,[1]备料总表!$B:$I,2,0)</f>
        <v>AI卡-Atlas 300I Duo-PCIe4x16-96GB-150W</v>
      </c>
      <c r="D88" s="1" t="str">
        <f>VLOOKUP(A88,[1]备料总表!$B:$I,4,0)</f>
        <v>AI推理卡</v>
      </c>
      <c r="E88" s="2" t="s">
        <v>138</v>
      </c>
      <c r="F88" s="4">
        <v>1</v>
      </c>
      <c r="G88" s="1" t="s">
        <v>139</v>
      </c>
      <c r="H88" s="3" t="str">
        <f>VLOOKUP(B88,[2]各库区库存!$A:$B,2,0)</f>
        <v>302-003127</v>
      </c>
    </row>
    <row r="89" spans="1:8" s="1" customFormat="1" hidden="1">
      <c r="A89" s="1" t="s">
        <v>137</v>
      </c>
      <c r="B89" s="2" t="str">
        <f t="shared" si="1"/>
        <v>302-003127</v>
      </c>
      <c r="C89" s="3" t="str">
        <f>VLOOKUP(A89,[1]备料总表!$B:$I,2,0)</f>
        <v>AI卡-Atlas 300I Duo-PCIe4x16-96GB-150W</v>
      </c>
      <c r="D89" s="1" t="str">
        <f>VLOOKUP(A89,[1]备料总表!$B:$I,4,0)</f>
        <v>AI推理卡</v>
      </c>
      <c r="E89" s="2" t="s">
        <v>67</v>
      </c>
      <c r="F89" s="4">
        <v>1</v>
      </c>
      <c r="G89" s="1" t="s">
        <v>140</v>
      </c>
      <c r="H89" s="3" t="str">
        <f>VLOOKUP(B89,[2]各库区库存!$A:$B,2,0)</f>
        <v>302-003127</v>
      </c>
    </row>
    <row r="90" spans="1:8" s="1" customFormat="1" hidden="1">
      <c r="A90" s="1" t="s">
        <v>137</v>
      </c>
      <c r="B90" s="2" t="str">
        <f t="shared" si="1"/>
        <v>302-003127</v>
      </c>
      <c r="C90" s="3" t="str">
        <f>VLOOKUP(A90,[1]备料总表!$B:$I,2,0)</f>
        <v>AI卡-Atlas 300I Duo-PCIe4x16-96GB-150W</v>
      </c>
      <c r="D90" s="1" t="str">
        <f>VLOOKUP(A90,[1]备料总表!$B:$I,4,0)</f>
        <v>AI推理卡</v>
      </c>
      <c r="E90" s="2" t="s">
        <v>9</v>
      </c>
      <c r="F90" s="4">
        <v>1</v>
      </c>
      <c r="G90" s="1" t="s">
        <v>140</v>
      </c>
      <c r="H90" s="3" t="str">
        <f>VLOOKUP(B90,[2]各库区库存!$A:$B,2,0)</f>
        <v>302-003127</v>
      </c>
    </row>
    <row r="91" spans="1:8" s="1" customFormat="1" hidden="1">
      <c r="A91" s="1" t="s">
        <v>137</v>
      </c>
      <c r="B91" s="2" t="str">
        <f t="shared" si="1"/>
        <v>302-003127</v>
      </c>
      <c r="C91" s="3" t="str">
        <f>VLOOKUP(A91,[1]备料总表!$B:$I,2,0)</f>
        <v>AI卡-Atlas 300I Duo-PCIe4x16-96GB-150W</v>
      </c>
      <c r="D91" s="1" t="str">
        <f>VLOOKUP(A91,[1]备料总表!$B:$I,4,0)</f>
        <v>AI推理卡</v>
      </c>
      <c r="E91" s="2" t="s">
        <v>83</v>
      </c>
      <c r="F91" s="4">
        <v>1</v>
      </c>
      <c r="G91" s="1" t="s">
        <v>141</v>
      </c>
      <c r="H91" s="3" t="str">
        <f>VLOOKUP(B91,[2]各库区库存!$A:$B,2,0)</f>
        <v>302-003127</v>
      </c>
    </row>
    <row r="92" spans="1:8" s="1" customFormat="1" hidden="1">
      <c r="A92" s="1" t="s">
        <v>137</v>
      </c>
      <c r="B92" s="2" t="str">
        <f t="shared" si="1"/>
        <v>302-003127</v>
      </c>
      <c r="C92" s="3" t="str">
        <f>VLOOKUP(A92,[1]备料总表!$B:$I,2,0)</f>
        <v>AI卡-Atlas 300I Duo-PCIe4x16-96GB-150W</v>
      </c>
      <c r="D92" s="1" t="str">
        <f>VLOOKUP(A92,[1]备料总表!$B:$I,4,0)</f>
        <v>AI推理卡</v>
      </c>
      <c r="E92" s="2" t="s">
        <v>71</v>
      </c>
      <c r="F92" s="4">
        <v>1</v>
      </c>
      <c r="G92" s="1" t="s">
        <v>142</v>
      </c>
      <c r="H92" s="3" t="str">
        <f>VLOOKUP(B92,[2]各库区库存!$A:$B,2,0)</f>
        <v>302-003127</v>
      </c>
    </row>
    <row r="93" spans="1:8" s="1" customFormat="1" hidden="1">
      <c r="A93" s="1" t="s">
        <v>137</v>
      </c>
      <c r="B93" s="2" t="str">
        <f t="shared" si="1"/>
        <v>302-003127</v>
      </c>
      <c r="C93" s="3" t="str">
        <f>VLOOKUP(A93,[1]备料总表!$B:$I,2,0)</f>
        <v>AI卡-Atlas 300I Duo-PCIe4x16-96GB-150W</v>
      </c>
      <c r="D93" s="1" t="str">
        <f>VLOOKUP(A93,[1]备料总表!$B:$I,4,0)</f>
        <v>AI推理卡</v>
      </c>
      <c r="E93" s="2" t="s">
        <v>65</v>
      </c>
      <c r="F93" s="4">
        <v>1</v>
      </c>
      <c r="G93" s="1" t="s">
        <v>143</v>
      </c>
      <c r="H93" s="3" t="str">
        <f>VLOOKUP(B93,[2]各库区库存!$A:$B,2,0)</f>
        <v>302-003127</v>
      </c>
    </row>
    <row r="94" spans="1:8" s="1" customFormat="1" hidden="1">
      <c r="A94" s="1" t="s">
        <v>135</v>
      </c>
      <c r="B94" s="2" t="str">
        <f t="shared" si="1"/>
        <v>302-003127</v>
      </c>
      <c r="C94" s="3" t="str">
        <f>VLOOKUP(A94,[1]备料总表!$B:$I,2,0)</f>
        <v>AI卡-Atlas 300I Duo-PCIe4x16-96GB-150W</v>
      </c>
      <c r="D94" s="1" t="str">
        <f>VLOOKUP(A94,[1]备料总表!$B:$I,4,0)</f>
        <v>AI推理卡</v>
      </c>
      <c r="E94" s="2" t="s">
        <v>144</v>
      </c>
      <c r="F94" s="4">
        <v>1</v>
      </c>
      <c r="G94" s="1" t="s">
        <v>145</v>
      </c>
      <c r="H94" s="3" t="str">
        <f>VLOOKUP(B94,[2]各库区库存!$A:$B,2,0)</f>
        <v>302-003127</v>
      </c>
    </row>
    <row r="95" spans="1:8" s="1" customFormat="1" hidden="1">
      <c r="A95" s="1" t="s">
        <v>135</v>
      </c>
      <c r="B95" s="2" t="str">
        <f t="shared" si="1"/>
        <v>302-003127</v>
      </c>
      <c r="C95" s="3" t="str">
        <f>VLOOKUP(A95,[1]备料总表!$B:$I,2,0)</f>
        <v>AI卡-Atlas 300I Duo-PCIe4x16-96GB-150W</v>
      </c>
      <c r="D95" s="1" t="str">
        <f>VLOOKUP(A95,[1]备料总表!$B:$I,4,0)</f>
        <v>AI推理卡</v>
      </c>
      <c r="E95" s="2" t="s">
        <v>146</v>
      </c>
      <c r="F95" s="4">
        <v>1</v>
      </c>
      <c r="G95" s="1" t="s">
        <v>147</v>
      </c>
      <c r="H95" s="3" t="str">
        <f>VLOOKUP(B95,[2]各库区库存!$A:$B,2,0)</f>
        <v>302-003127</v>
      </c>
    </row>
    <row r="96" spans="1:8" s="1" customFormat="1" hidden="1">
      <c r="A96" s="1" t="s">
        <v>148</v>
      </c>
      <c r="B96" s="2" t="str">
        <f t="shared" si="1"/>
        <v>302-003228</v>
      </c>
      <c r="C96" s="3" t="str">
        <f>VLOOKUP(A96,[1]备料总表!$B:$I,2,0)</f>
        <v>S主板 S920X10K-2*7261K (64C@2.6) -AD</v>
      </c>
      <c r="D96" s="1" t="str">
        <f>VLOOKUP(A96,[1]备料总表!$B:$I,4,0)</f>
        <v>主板</v>
      </c>
      <c r="E96" s="2" t="s">
        <v>146</v>
      </c>
      <c r="F96" s="4">
        <v>1</v>
      </c>
      <c r="G96" s="1" t="s">
        <v>149</v>
      </c>
      <c r="H96" s="3" t="str">
        <f>VLOOKUP(B96,[2]各库区库存!$A:$B,2,0)</f>
        <v>302-003228</v>
      </c>
    </row>
    <row r="97" spans="1:8" s="1" customFormat="1" hidden="1">
      <c r="A97" s="1" t="s">
        <v>150</v>
      </c>
      <c r="B97" s="2" t="str">
        <f t="shared" si="1"/>
        <v>302-003289</v>
      </c>
      <c r="C97" s="3" t="str">
        <f>VLOOKUP(A97,[1]备料总表!$B:$I,2,0)</f>
        <v>Atlas 800T 挂耳</v>
      </c>
      <c r="D97" s="1" t="str">
        <f>VLOOKUP(A97,[1]备料总表!$B:$I,4,0)</f>
        <v>挂耳</v>
      </c>
      <c r="E97" s="2" t="s">
        <v>95</v>
      </c>
      <c r="F97" s="4">
        <v>1</v>
      </c>
      <c r="G97" s="1" t="s">
        <v>96</v>
      </c>
      <c r="H97" s="3" t="str">
        <f>VLOOKUP(B97,[2]各库区库存!$A:$B,2,0)</f>
        <v>302-003289</v>
      </c>
    </row>
    <row r="98" spans="1:8" s="1" customFormat="1" hidden="1">
      <c r="A98" s="1" t="s">
        <v>150</v>
      </c>
      <c r="B98" s="2" t="str">
        <f t="shared" si="1"/>
        <v>302-003289</v>
      </c>
      <c r="C98" s="3" t="str">
        <f>VLOOKUP(A98,[1]备料总表!$B:$I,2,0)</f>
        <v>Atlas 800T 挂耳</v>
      </c>
      <c r="D98" s="1" t="str">
        <f>VLOOKUP(A98,[1]备料总表!$B:$I,4,0)</f>
        <v>挂耳</v>
      </c>
      <c r="E98" s="2" t="s">
        <v>65</v>
      </c>
      <c r="F98" s="4">
        <v>1</v>
      </c>
      <c r="G98" s="1" t="s">
        <v>66</v>
      </c>
      <c r="H98" s="3" t="str">
        <f>VLOOKUP(B98,[2]各库区库存!$A:$B,2,0)</f>
        <v>302-003289</v>
      </c>
    </row>
    <row r="99" spans="1:8" s="1" customFormat="1" hidden="1">
      <c r="A99" s="1" t="s">
        <v>150</v>
      </c>
      <c r="B99" s="2" t="str">
        <f t="shared" si="1"/>
        <v>302-003289</v>
      </c>
      <c r="C99" s="3" t="str">
        <f>VLOOKUP(A99,[1]备料总表!$B:$I,2,0)</f>
        <v>Atlas 800T 挂耳</v>
      </c>
      <c r="D99" s="1" t="str">
        <f>VLOOKUP(A99,[1]备料总表!$B:$I,4,0)</f>
        <v>挂耳</v>
      </c>
      <c r="E99" s="2" t="s">
        <v>67</v>
      </c>
      <c r="F99" s="4">
        <v>1</v>
      </c>
      <c r="G99" s="1" t="s">
        <v>68</v>
      </c>
      <c r="H99" s="3" t="str">
        <f>VLOOKUP(B99,[2]各库区库存!$A:$B,2,0)</f>
        <v>302-003289</v>
      </c>
    </row>
    <row r="100" spans="1:8" s="1" customFormat="1" hidden="1">
      <c r="A100" s="1" t="s">
        <v>151</v>
      </c>
      <c r="B100" s="2" t="str">
        <f t="shared" si="1"/>
        <v>302-003373</v>
      </c>
      <c r="C100" s="3" t="str">
        <f>VLOOKUP(A100,[1]备料总表!$B:$I,2,0)</f>
        <v>网卡SP680-4*25G-SFP28-PCIe3.0x8-无模</v>
      </c>
      <c r="D100" s="1" t="str">
        <f>VLOOKUP(A100,[1]备料总表!$B:$I,4,0)</f>
        <v>网卡</v>
      </c>
      <c r="E100" s="2" t="s">
        <v>152</v>
      </c>
      <c r="F100" s="4">
        <v>1</v>
      </c>
      <c r="G100" s="1" t="s">
        <v>120</v>
      </c>
      <c r="H100" s="3" t="str">
        <f>VLOOKUP(B100,[2]各库区库存!$A:$B,2,0)</f>
        <v>302-003373</v>
      </c>
    </row>
    <row r="101" spans="1:8" s="1" customFormat="1" hidden="1">
      <c r="A101" s="1" t="s">
        <v>153</v>
      </c>
      <c r="B101" s="2" t="str">
        <f t="shared" si="1"/>
        <v>302-003390</v>
      </c>
      <c r="C101" s="3" t="str">
        <f>VLOOKUP(A101,[1]备料总表!$B:$I,2,0)</f>
        <v>高速电缆PCIe-0.26m-SlimX8弯头</v>
      </c>
      <c r="D101" s="1" t="str">
        <f>VLOOKUP(A101,[1]备料总表!$B:$I,4,0)</f>
        <v>线缆</v>
      </c>
      <c r="E101" s="2" t="s">
        <v>65</v>
      </c>
      <c r="F101" s="4">
        <v>1</v>
      </c>
      <c r="G101" s="1" t="s">
        <v>66</v>
      </c>
      <c r="H101" s="3" t="str">
        <f>VLOOKUP(B101,[2]各库区库存!$A:$B,2,0)</f>
        <v>302-003390</v>
      </c>
    </row>
    <row r="102" spans="1:8" s="1" customFormat="1" hidden="1">
      <c r="A102" s="1" t="s">
        <v>153</v>
      </c>
      <c r="B102" s="2" t="str">
        <f t="shared" si="1"/>
        <v>302-003390</v>
      </c>
      <c r="C102" s="3" t="str">
        <f>VLOOKUP(A102,[1]备料总表!$B:$I,2,0)</f>
        <v>高速电缆PCIe-0.26m-SlimX8弯头</v>
      </c>
      <c r="D102" s="1" t="str">
        <f>VLOOKUP(A102,[1]备料总表!$B:$I,4,0)</f>
        <v>线缆</v>
      </c>
      <c r="E102" s="2" t="s">
        <v>131</v>
      </c>
      <c r="F102" s="4">
        <v>1</v>
      </c>
      <c r="G102" s="1" t="s">
        <v>154</v>
      </c>
      <c r="H102" s="3" t="str">
        <f>VLOOKUP(B102,[2]各库区库存!$A:$B,2,0)</f>
        <v>302-003390</v>
      </c>
    </row>
    <row r="103" spans="1:8" s="1" customFormat="1" hidden="1">
      <c r="A103" s="1" t="s">
        <v>155</v>
      </c>
      <c r="B103" s="2" t="str">
        <f t="shared" si="1"/>
        <v>302-003487</v>
      </c>
      <c r="C103" s="3" t="str">
        <f>VLOOKUP(A103,[1]备料总表!$B:$I,2,0)</f>
        <v>服务器8*2.5英寸硬盘2U机箱（海外）-A722</v>
      </c>
      <c r="D103" s="1" t="str">
        <f>VLOOKUP(A103,[1]备料总表!$B:$I,4,0)</f>
        <v>机箱/硬盘背板</v>
      </c>
      <c r="E103" s="2" t="s">
        <v>131</v>
      </c>
      <c r="F103" s="4">
        <v>1</v>
      </c>
      <c r="G103" s="1" t="s">
        <v>156</v>
      </c>
      <c r="H103" s="3" t="e">
        <f>VLOOKUP(B103,[2]各库区库存!$A:$B,2,0)</f>
        <v>#N/A</v>
      </c>
    </row>
    <row r="104" spans="1:8" s="1" customFormat="1" hidden="1">
      <c r="A104" s="1" t="s">
        <v>157</v>
      </c>
      <c r="B104" s="2" t="str">
        <f t="shared" si="1"/>
        <v>302-003754</v>
      </c>
      <c r="C104" s="3" t="str">
        <f>VLOOKUP(A104,[1]备料总表!$B:$I,2,0)</f>
        <v>内存/32G/2Rx4/3200/ECC HLS</v>
      </c>
      <c r="D104" s="1" t="str">
        <f>VLOOKUP(A104,[1]备料总表!$B:$I,4,0)</f>
        <v>内存</v>
      </c>
      <c r="E104" s="2" t="s">
        <v>81</v>
      </c>
      <c r="F104" s="4">
        <v>1</v>
      </c>
      <c r="G104" s="1" t="s">
        <v>158</v>
      </c>
      <c r="H104" s="3" t="str">
        <f>VLOOKUP(B104,[2]各库区库存!$A:$B,2,0)</f>
        <v>302-003754</v>
      </c>
    </row>
    <row r="105" spans="1:8" s="1" customFormat="1" hidden="1">
      <c r="A105" s="1" t="s">
        <v>159</v>
      </c>
      <c r="B105" s="2" t="str">
        <f t="shared" si="1"/>
        <v>302-004067</v>
      </c>
      <c r="C105" s="3" t="str">
        <f>VLOOKUP(A105,[1]备料总表!$B:$I,2,0)</f>
        <v>RAID标卡SP686C-16i-4GB-PCIe4.0x8 HW-海外</v>
      </c>
      <c r="D105" s="1" t="str">
        <f>VLOOKUP(A105,[1]备料总表!$B:$I,4,0)</f>
        <v>RAID卡</v>
      </c>
      <c r="E105" s="2" t="s">
        <v>131</v>
      </c>
      <c r="F105" s="4">
        <v>1</v>
      </c>
      <c r="G105" s="1" t="s">
        <v>160</v>
      </c>
      <c r="H105" s="3" t="e">
        <f>VLOOKUP(B105,[2]各库区库存!$A:$B,2,0)</f>
        <v>#N/A</v>
      </c>
    </row>
    <row r="106" spans="1:8" s="1" customFormat="1" hidden="1">
      <c r="A106" s="1" t="s">
        <v>161</v>
      </c>
      <c r="B106" s="2" t="str">
        <f t="shared" si="1"/>
        <v>302-004217</v>
      </c>
      <c r="C106" s="3" t="str">
        <f>VLOOKUP(A106,[1]备料总表!$B:$I,2,0)</f>
        <v>高速电缆-内部PCIe高速线缆-0.2m</v>
      </c>
      <c r="D106" s="1" t="str">
        <f>VLOOKUP(A106,[1]备料总表!$B:$I,4,0)</f>
        <v>线缆</v>
      </c>
      <c r="E106" s="2" t="s">
        <v>22</v>
      </c>
      <c r="F106" s="4">
        <v>1</v>
      </c>
      <c r="G106" s="1" t="s">
        <v>58</v>
      </c>
      <c r="H106" s="3" t="str">
        <f>VLOOKUP(B106,[2]各库区库存!$A:$B,2,0)</f>
        <v>302-004217</v>
      </c>
    </row>
    <row r="107" spans="1:8" s="1" customFormat="1" hidden="1">
      <c r="A107" s="1" t="s">
        <v>162</v>
      </c>
      <c r="B107" s="2" t="str">
        <f t="shared" si="1"/>
        <v>302-004218</v>
      </c>
      <c r="C107" s="3" t="str">
        <f>VLOOKUP(A107,[1]备料总表!$B:$I,2,0)</f>
        <v>高速电缆-内部PCIe高速线缆-0.335m</v>
      </c>
      <c r="D107" s="1" t="str">
        <f>VLOOKUP(A107,[1]备料总表!$B:$I,4,0)</f>
        <v>线缆</v>
      </c>
      <c r="E107" s="2" t="s">
        <v>22</v>
      </c>
      <c r="F107" s="4">
        <v>1</v>
      </c>
      <c r="G107" s="1" t="s">
        <v>58</v>
      </c>
      <c r="H107" s="3" t="str">
        <f>VLOOKUP(B107,[2]各库区库存!$A:$B,2,0)</f>
        <v>302-004218</v>
      </c>
    </row>
    <row r="108" spans="1:8" s="1" customFormat="1" hidden="1">
      <c r="A108" s="1" t="s">
        <v>163</v>
      </c>
      <c r="B108" s="2" t="str">
        <f t="shared" si="1"/>
        <v>302-004219</v>
      </c>
      <c r="C108" s="3" t="str">
        <f>VLOOKUP(A108,[1]备料总表!$B:$I,2,0)</f>
        <v>内部高速线缆-0.99&amp;0.77&amp;0.94&amp;0.78m</v>
      </c>
      <c r="D108" s="1" t="str">
        <f>VLOOKUP(A108,[1]备料总表!$B:$I,4,0)</f>
        <v>线缆</v>
      </c>
      <c r="E108" s="2" t="s">
        <v>99</v>
      </c>
      <c r="F108" s="4">
        <v>1</v>
      </c>
      <c r="G108" s="1" t="s">
        <v>164</v>
      </c>
      <c r="H108" s="3" t="str">
        <f>VLOOKUP(B108,[2]各库区库存!$A:$B,2,0)</f>
        <v>302-004219</v>
      </c>
    </row>
    <row r="109" spans="1:8" s="1" customFormat="1" hidden="1">
      <c r="A109" s="1" t="s">
        <v>165</v>
      </c>
      <c r="B109" s="2" t="str">
        <f t="shared" si="1"/>
        <v>302-004221</v>
      </c>
      <c r="C109" s="3" t="str">
        <f>VLOOKUP(A109,[1]备料总表!$B:$I,2,0)</f>
        <v>电源电缆-0.7m-黑-80A弯头快插连接器-5*18UL2651-80A弯头快插连接器</v>
      </c>
      <c r="D109" s="1" t="str">
        <f>VLOOKUP(A109,[1]备料总表!$B:$I,4,0)</f>
        <v>线缆</v>
      </c>
      <c r="E109" s="2" t="s">
        <v>152</v>
      </c>
      <c r="F109" s="4">
        <v>1</v>
      </c>
      <c r="G109" s="2" t="s">
        <v>166</v>
      </c>
      <c r="H109" s="3" t="str">
        <f>VLOOKUP(B109,[2]各库区库存!$A:$B,2,0)</f>
        <v>302-004221</v>
      </c>
    </row>
    <row r="110" spans="1:8" s="1" customFormat="1" hidden="1">
      <c r="A110" s="1" t="s">
        <v>167</v>
      </c>
      <c r="B110" s="2" t="str">
        <f t="shared" si="1"/>
        <v>302-004224</v>
      </c>
      <c r="C110" s="3" t="str">
        <f>VLOOKUP(A110,[1]备料总表!$B:$I,2,0)</f>
        <v>高速电缆-内部PCIe高速线缆-0.335m</v>
      </c>
      <c r="D110" s="1" t="str">
        <f>VLOOKUP(A110,[1]备料总表!$B:$I,4,0)</f>
        <v>线缆</v>
      </c>
      <c r="E110" s="2" t="s">
        <v>22</v>
      </c>
      <c r="F110" s="4">
        <v>1</v>
      </c>
      <c r="G110" s="1" t="s">
        <v>58</v>
      </c>
      <c r="H110" s="3" t="str">
        <f>VLOOKUP(B110,[2]各库区库存!$A:$B,2,0)</f>
        <v>302-004224</v>
      </c>
    </row>
    <row r="111" spans="1:8" s="1" customFormat="1" hidden="1">
      <c r="A111" s="1" t="s">
        <v>168</v>
      </c>
      <c r="B111" s="2" t="str">
        <f t="shared" si="1"/>
        <v>302-004225</v>
      </c>
      <c r="C111" s="3" t="str">
        <f>VLOOKUP(A111,[1]备料总表!$B:$I,2,0)</f>
        <v>高速板对板连接器模组-74-UBC 8X 直式-UBC 8X 直式-120mm-0.16mm-10mm-5000MB/s-1.57mm-电缆安装型-低成本 5Gbps 线缆-是</v>
      </c>
      <c r="D111" s="1" t="str">
        <f>VLOOKUP(A111,[1]备料总表!$B:$I,4,0)</f>
        <v>线缆</v>
      </c>
      <c r="E111" s="2" t="s">
        <v>152</v>
      </c>
      <c r="F111" s="4">
        <v>1</v>
      </c>
      <c r="G111" s="2" t="s">
        <v>169</v>
      </c>
      <c r="H111" s="3" t="str">
        <f>VLOOKUP(B111,[2]各库区库存!$A:$B,2,0)</f>
        <v>302-004225</v>
      </c>
    </row>
    <row r="112" spans="1:8" s="1" customFormat="1" hidden="1">
      <c r="A112" s="1" t="s">
        <v>170</v>
      </c>
      <c r="B112" s="2" t="str">
        <f>VLOOKUP(A112,[1]备料总表!$B:$I,8,0)</f>
        <v>88-000493</v>
      </c>
      <c r="C112" s="3" t="str">
        <f>VLOOKUP(A112,[1]备料总表!$B:$I,2,0)</f>
        <v>背板-8SAS+12NVME-NVMe4.0</v>
      </c>
      <c r="D112" s="1" t="str">
        <f>VLOOKUP(A112,[1]备料总表!$B:$I,4,0)</f>
        <v>机箱/硬盘背板</v>
      </c>
      <c r="E112" s="2" t="s">
        <v>38</v>
      </c>
      <c r="F112" s="4">
        <v>1</v>
      </c>
      <c r="G112" s="1" t="s">
        <v>171</v>
      </c>
      <c r="H112" s="3" t="e">
        <f>VLOOKUP(B112,[2]各库区库存!$A:$B,2,0)</f>
        <v>#N/A</v>
      </c>
    </row>
    <row r="113" spans="1:8" s="1" customFormat="1" hidden="1">
      <c r="A113" s="1" t="s">
        <v>172</v>
      </c>
      <c r="B113" s="2" t="str">
        <f>VLOOKUP(A113,[1]备料总表!$B:$I,8,0)</f>
        <v>88-000493</v>
      </c>
      <c r="C113" s="3" t="str">
        <f>VLOOKUP(A113,[1]备料总表!$B:$I,2,0)</f>
        <v>背板-8SAS+12NVME-NVMe4.0</v>
      </c>
      <c r="D113" s="1" t="str">
        <f>VLOOKUP(A113,[1]备料总表!$B:$I,4,0)</f>
        <v>机箱/硬盘背板</v>
      </c>
      <c r="E113" s="2" t="s">
        <v>35</v>
      </c>
      <c r="F113" s="4">
        <v>1</v>
      </c>
      <c r="G113" s="1" t="s">
        <v>173</v>
      </c>
      <c r="H113" s="3" t="e">
        <f>VLOOKUP(B113,[2]各库区库存!$A:$B,2,0)</f>
        <v>#N/A</v>
      </c>
    </row>
    <row r="114" spans="1:8" s="1" customFormat="1" hidden="1">
      <c r="A114" s="1" t="s">
        <v>172</v>
      </c>
      <c r="B114" s="2" t="str">
        <f>VLOOKUP(A114,[1]备料总表!$B:$I,8,0)</f>
        <v>88-000493</v>
      </c>
      <c r="C114" s="3" t="str">
        <f>VLOOKUP(A114,[1]备料总表!$B:$I,2,0)</f>
        <v>背板-8SAS+12NVME-NVMe4.0</v>
      </c>
      <c r="D114" s="1" t="str">
        <f>VLOOKUP(A114,[1]备料总表!$B:$I,4,0)</f>
        <v>机箱/硬盘背板</v>
      </c>
      <c r="E114" s="2" t="s">
        <v>9</v>
      </c>
      <c r="F114" s="4">
        <v>1</v>
      </c>
      <c r="G114" s="1" t="s">
        <v>104</v>
      </c>
      <c r="H114" s="3" t="e">
        <f>VLOOKUP(B114,[2]各库区库存!$A:$B,2,0)</f>
        <v>#N/A</v>
      </c>
    </row>
    <row r="115" spans="1:8" s="1" customFormat="1" hidden="1">
      <c r="A115" s="1" t="s">
        <v>172</v>
      </c>
      <c r="B115" s="2" t="str">
        <f>VLOOKUP(A115,[1]备料总表!$B:$I,8,0)</f>
        <v>88-000493</v>
      </c>
      <c r="C115" s="3" t="str">
        <f>VLOOKUP(A115,[1]备料总表!$B:$I,2,0)</f>
        <v>背板-8SAS+12NVME-NVMe4.0</v>
      </c>
      <c r="D115" s="1" t="str">
        <f>VLOOKUP(A115,[1]备料总表!$B:$I,4,0)</f>
        <v>机箱/硬盘背板</v>
      </c>
      <c r="E115" s="2" t="s">
        <v>83</v>
      </c>
      <c r="F115" s="4">
        <v>1</v>
      </c>
      <c r="G115" s="1" t="s">
        <v>84</v>
      </c>
      <c r="H115" s="3" t="e">
        <f>VLOOKUP(B115,[2]各库区库存!$A:$B,2,0)</f>
        <v>#N/A</v>
      </c>
    </row>
    <row r="116" spans="1:8" s="1" customFormat="1" hidden="1">
      <c r="A116" s="1" t="s">
        <v>170</v>
      </c>
      <c r="B116" s="2" t="str">
        <f>VLOOKUP(A116,[1]备料总表!$B:$I,8,0)</f>
        <v>88-000493</v>
      </c>
      <c r="C116" s="3" t="str">
        <f>VLOOKUP(A116,[1]备料总表!$B:$I,2,0)</f>
        <v>背板-8SAS+12NVME-NVMe4.0</v>
      </c>
      <c r="D116" s="1" t="str">
        <f>VLOOKUP(A116,[1]备料总表!$B:$I,4,0)</f>
        <v>机箱/硬盘背板</v>
      </c>
      <c r="E116" s="2" t="s">
        <v>27</v>
      </c>
      <c r="F116" s="4">
        <v>1</v>
      </c>
      <c r="G116" s="1" t="s">
        <v>174</v>
      </c>
      <c r="H116" s="3" t="e">
        <f>VLOOKUP(B116,[2]各库区库存!$A:$B,2,0)</f>
        <v>#N/A</v>
      </c>
    </row>
    <row r="117" spans="1:8" s="1" customFormat="1" hidden="1">
      <c r="A117" s="1" t="s">
        <v>172</v>
      </c>
      <c r="B117" s="2" t="str">
        <f>VLOOKUP(A117,[1]备料总表!$B:$I,8,0)</f>
        <v>88-000493</v>
      </c>
      <c r="C117" s="3" t="str">
        <f>VLOOKUP(A117,[1]备料总表!$B:$I,2,0)</f>
        <v>背板-8SAS+12NVME-NVMe4.0</v>
      </c>
      <c r="D117" s="1" t="str">
        <f>VLOOKUP(A117,[1]备料总表!$B:$I,4,0)</f>
        <v>机箱/硬盘背板</v>
      </c>
      <c r="E117" s="2" t="s">
        <v>81</v>
      </c>
      <c r="F117" s="4">
        <v>1</v>
      </c>
      <c r="G117" s="1" t="s">
        <v>82</v>
      </c>
      <c r="H117" s="3" t="e">
        <f>VLOOKUP(B117,[2]各库区库存!$A:$B,2,0)</f>
        <v>#N/A</v>
      </c>
    </row>
    <row r="118" spans="1:8" s="1" customFormat="1" hidden="1">
      <c r="A118" s="2" t="s">
        <v>170</v>
      </c>
      <c r="B118" s="2" t="str">
        <f>VLOOKUP(A118,[1]备料总表!$B:$I,8,0)</f>
        <v>88-000493</v>
      </c>
      <c r="C118" s="3" t="str">
        <f>VLOOKUP(A118,[1]备料总表!$B:$I,2,0)</f>
        <v>背板-8SAS+12NVME-NVMe4.0</v>
      </c>
      <c r="D118" s="1" t="str">
        <f>VLOOKUP(A118,[1]备料总表!$B:$I,4,0)</f>
        <v>机箱/硬盘背板</v>
      </c>
      <c r="E118" s="2" t="s">
        <v>121</v>
      </c>
      <c r="F118" s="4">
        <v>1</v>
      </c>
      <c r="G118" s="1" t="s">
        <v>175</v>
      </c>
      <c r="H118" s="3" t="e">
        <f>VLOOKUP(B118,[2]各库区库存!$A:$B,2,0)</f>
        <v>#N/A</v>
      </c>
    </row>
    <row r="119" spans="1:8" s="1" customFormat="1" hidden="1">
      <c r="A119" s="1" t="s">
        <v>176</v>
      </c>
      <c r="B119" s="2" t="str">
        <f>VLOOKUP(A119,[1]备料总表!$B:$I,8,0)</f>
        <v>88-001775</v>
      </c>
      <c r="C119" s="3" t="str">
        <f>VLOOKUP(A119,[1]备料总表!$B:$I,2,0)</f>
        <v>25*2.5寸EXP硬盘背板</v>
      </c>
      <c r="D119" s="1" t="str">
        <f>VLOOKUP(A119,[1]备料总表!$B:$I,4,0)</f>
        <v>机箱/硬盘背板</v>
      </c>
      <c r="E119" s="2" t="s">
        <v>177</v>
      </c>
      <c r="F119" s="4">
        <v>1</v>
      </c>
      <c r="G119" s="1" t="s">
        <v>178</v>
      </c>
      <c r="H119" s="3" t="e">
        <f>VLOOKUP(B119,[2]各库区库存!$A:$B,2,0)</f>
        <v>#N/A</v>
      </c>
    </row>
    <row r="120" spans="1:8" s="1" customFormat="1" hidden="1">
      <c r="A120" s="1" t="s">
        <v>179</v>
      </c>
      <c r="B120" s="2" t="str">
        <f>VLOOKUP(A120,[1]备料总表!$B:$I,8,0)</f>
        <v>88-001775</v>
      </c>
      <c r="C120" s="3" t="str">
        <f>VLOOKUP(A120,[1]备料总表!$B:$I,2,0)</f>
        <v>25*2.5寸EXP硬盘背板</v>
      </c>
      <c r="D120" s="1" t="str">
        <f>VLOOKUP(A120,[1]备料总表!$B:$I,4,0)</f>
        <v>机箱/硬盘背板</v>
      </c>
      <c r="E120" s="2" t="s">
        <v>86</v>
      </c>
      <c r="F120" s="4">
        <v>1</v>
      </c>
      <c r="G120" s="11" t="s">
        <v>180</v>
      </c>
      <c r="H120" s="3" t="e">
        <f>VLOOKUP(B120,[2]各库区库存!$A:$B,2,0)</f>
        <v>#N/A</v>
      </c>
    </row>
    <row r="121" spans="1:8" s="1" customFormat="1" hidden="1">
      <c r="A121" s="1" t="s">
        <v>179</v>
      </c>
      <c r="B121" s="2" t="str">
        <f>VLOOKUP(A121,[1]备料总表!$B:$I,8,0)</f>
        <v>88-001775</v>
      </c>
      <c r="C121" s="3" t="str">
        <f>VLOOKUP(A121,[1]备料总表!$B:$I,2,0)</f>
        <v>25*2.5寸EXP硬盘背板</v>
      </c>
      <c r="D121" s="1" t="str">
        <f>VLOOKUP(A121,[1]备料总表!$B:$I,4,0)</f>
        <v>机箱/硬盘背板</v>
      </c>
      <c r="E121" s="2" t="s">
        <v>67</v>
      </c>
      <c r="F121" s="4">
        <v>1</v>
      </c>
      <c r="G121" s="11" t="s">
        <v>180</v>
      </c>
      <c r="H121" s="3" t="e">
        <f>VLOOKUP(B121,[2]各库区库存!$A:$B,2,0)</f>
        <v>#N/A</v>
      </c>
    </row>
    <row r="122" spans="1:8" s="1" customFormat="1" hidden="1">
      <c r="A122" s="1" t="s">
        <v>179</v>
      </c>
      <c r="B122" s="2" t="str">
        <f>VLOOKUP(A122,[1]备料总表!$B:$I,8,0)</f>
        <v>88-001775</v>
      </c>
      <c r="C122" s="3" t="str">
        <f>VLOOKUP(A122,[1]备料总表!$B:$I,2,0)</f>
        <v>25*2.5寸EXP硬盘背板</v>
      </c>
      <c r="D122" s="1" t="str">
        <f>VLOOKUP(A122,[1]备料总表!$B:$I,4,0)</f>
        <v>机箱/硬盘背板</v>
      </c>
      <c r="E122" s="2" t="s">
        <v>124</v>
      </c>
      <c r="F122" s="4">
        <v>1</v>
      </c>
      <c r="G122" s="1" t="s">
        <v>181</v>
      </c>
      <c r="H122" s="3" t="e">
        <f>VLOOKUP(B122,[2]各库区库存!$A:$B,2,0)</f>
        <v>#N/A</v>
      </c>
    </row>
    <row r="123" spans="1:8" s="1" customFormat="1" hidden="1">
      <c r="A123" s="1" t="s">
        <v>182</v>
      </c>
      <c r="B123" s="2" t="str">
        <f>VLOOKUP(A123,[1]备料总表!$B:$I,8,0)</f>
        <v>88-002609</v>
      </c>
      <c r="C123" s="3" t="str">
        <f>VLOOKUP(A123,[1]备料总表!$B:$I,2,0)</f>
        <v>制成板IT21BP8A-八80风扇+SSD背板A-0XC1-2*1</v>
      </c>
      <c r="D123" s="1" t="str">
        <f>VLOOKUP(A123,[1]备料总表!$B:$I,4,0)</f>
        <v>机箱/硬盘背板</v>
      </c>
      <c r="E123" s="2" t="s">
        <v>29</v>
      </c>
      <c r="F123" s="4">
        <v>1</v>
      </c>
      <c r="G123" s="1" t="s">
        <v>74</v>
      </c>
      <c r="H123" s="3" t="e">
        <f>VLOOKUP(B123,[2]各库区库存!$A:$B,2,0)</f>
        <v>#N/A</v>
      </c>
    </row>
    <row r="124" spans="1:8" s="1" customFormat="1" hidden="1">
      <c r="A124" s="1" t="s">
        <v>183</v>
      </c>
      <c r="B124" s="2" t="str">
        <f>VLOOKUP(A124,[1]备料总表!$B:$I,8,0)</f>
        <v>88-002689</v>
      </c>
      <c r="C124" s="3" t="str">
        <f>VLOOKUP(A124,[1]备料总表!$B:$I,2,0)</f>
        <v>天池12*3.5英寸EXP硬盘背板-BC83HBBH</v>
      </c>
      <c r="D124" s="1" t="str">
        <f>VLOOKUP(A124,[1]备料总表!$B:$I,4,0)</f>
        <v>机箱/硬盘背板</v>
      </c>
      <c r="E124" s="2" t="s">
        <v>9</v>
      </c>
      <c r="F124" s="4">
        <v>1</v>
      </c>
      <c r="G124" s="1" t="s">
        <v>63</v>
      </c>
      <c r="H124" s="3" t="e">
        <f>VLOOKUP(B124,[2]各库区库存!$A:$B,2,0)</f>
        <v>#N/A</v>
      </c>
    </row>
    <row r="125" spans="1:8" s="1" customFormat="1" hidden="1">
      <c r="A125" s="1" t="s">
        <v>184</v>
      </c>
      <c r="B125" s="2" t="str">
        <f>VLOOKUP(A125,[1]备料总表!$B:$I,8,0)</f>
        <v>88-002798</v>
      </c>
      <c r="C125" s="3" t="str">
        <f>VLOOKUP(A125,[1]备料总表!$B:$I,2,0)</f>
        <v>12*3.5 inch HDD 双RAID Expander硬盘背板</v>
      </c>
      <c r="D125" s="1" t="str">
        <f>VLOOKUP(A125,[1]备料总表!$B:$I,4,0)</f>
        <v>机箱/硬盘背板</v>
      </c>
      <c r="E125" s="2" t="s">
        <v>185</v>
      </c>
      <c r="F125" s="4">
        <v>1</v>
      </c>
      <c r="G125" s="1" t="s">
        <v>186</v>
      </c>
      <c r="H125" s="3" t="e">
        <f>VLOOKUP(B125,[2]各库区库存!$A:$B,2,0)</f>
        <v>#N/A</v>
      </c>
    </row>
    <row r="126" spans="1:8" s="1" customFormat="1" hidden="1">
      <c r="A126" s="1" t="s">
        <v>184</v>
      </c>
      <c r="B126" s="2" t="str">
        <f>VLOOKUP(A126,[1]备料总表!$B:$I,8,0)</f>
        <v>88-002798</v>
      </c>
      <c r="C126" s="3" t="str">
        <f>VLOOKUP(A126,[1]备料总表!$B:$I,2,0)</f>
        <v>12*3.5 inch HDD 双RAID Expander硬盘背板</v>
      </c>
      <c r="D126" s="1" t="str">
        <f>VLOOKUP(A126,[1]备料总表!$B:$I,4,0)</f>
        <v>机箱/硬盘背板</v>
      </c>
      <c r="E126" s="2" t="s">
        <v>71</v>
      </c>
      <c r="F126" s="4">
        <v>1</v>
      </c>
      <c r="G126" s="1" t="s">
        <v>187</v>
      </c>
      <c r="H126" s="3" t="e">
        <f>VLOOKUP(B126,[2]各库区库存!$A:$B,2,0)</f>
        <v>#N/A</v>
      </c>
    </row>
    <row r="127" spans="1:8" s="1" customFormat="1">
      <c r="A127" s="1" t="s">
        <v>188</v>
      </c>
      <c r="B127" s="2" t="str">
        <f>VLOOKUP(A127,[1]备料总表!$B:$I,8,0)</f>
        <v>99-000139</v>
      </c>
      <c r="C127" s="3" t="str">
        <f>VLOOKUP(A127,[1]备料总表!$B:$I,2,0)</f>
        <v>RAID标卡-2GB SmartRAID 3152-8i 含btry</v>
      </c>
      <c r="D127" s="1" t="str">
        <f>VLOOKUP(A127,[1]备料总表!$B:$I,4,0)</f>
        <v>RAID卡</v>
      </c>
      <c r="E127" s="2" t="s">
        <v>189</v>
      </c>
      <c r="F127" s="4">
        <v>1</v>
      </c>
      <c r="G127" s="1" t="s">
        <v>190</v>
      </c>
      <c r="H127" s="3" t="e">
        <f>VLOOKUP(B127,[2]各库区库存!$A:$B,2,0)</f>
        <v>#N/A</v>
      </c>
    </row>
    <row r="128" spans="1:8" s="1" customFormat="1">
      <c r="A128" s="1" t="s">
        <v>188</v>
      </c>
      <c r="B128" s="2" t="str">
        <f>VLOOKUP(A128,[1]备料总表!$B:$I,8,0)</f>
        <v>99-000139</v>
      </c>
      <c r="C128" s="3" t="str">
        <f>VLOOKUP(A128,[1]备料总表!$B:$I,2,0)</f>
        <v>RAID标卡-2GB SmartRAID 3152-8i 含btry</v>
      </c>
      <c r="D128" s="1" t="str">
        <f>VLOOKUP(A128,[1]备料总表!$B:$I,4,0)</f>
        <v>RAID卡</v>
      </c>
      <c r="E128" s="2" t="s">
        <v>9</v>
      </c>
      <c r="F128" s="4">
        <v>1</v>
      </c>
      <c r="G128" s="2" t="s">
        <v>191</v>
      </c>
      <c r="H128" s="3" t="e">
        <f>VLOOKUP(B128,[2]各库区库存!$A:$B,2,0)</f>
        <v>#N/A</v>
      </c>
    </row>
    <row r="129" spans="1:8" s="1" customFormat="1">
      <c r="A129" s="1" t="s">
        <v>192</v>
      </c>
      <c r="B129" s="2" t="str">
        <f>VLOOKUP(A129,[1]备料总表!$B:$I,8,0)</f>
        <v>99-000144</v>
      </c>
      <c r="C129" s="3" t="str">
        <f>VLOOKUP(A129,[1]备料总表!$B:$I,2,0)</f>
        <v>2*3.5"后置硬盘背板组件(OEM专用)</v>
      </c>
      <c r="D129" s="1" t="str">
        <f>VLOOKUP(A129,[1]备料总表!$B:$I,4,0)</f>
        <v>后置硬盘背板</v>
      </c>
      <c r="E129" s="2" t="s">
        <v>65</v>
      </c>
      <c r="F129" s="4">
        <v>1</v>
      </c>
      <c r="G129" s="1" t="s">
        <v>193</v>
      </c>
      <c r="H129" s="3" t="e">
        <f>VLOOKUP(B129,[2]各库区库存!$A:$B,2,0)</f>
        <v>#N/A</v>
      </c>
    </row>
    <row r="130" spans="1:8" s="1" customFormat="1">
      <c r="A130" s="1" t="s">
        <v>192</v>
      </c>
      <c r="B130" s="2" t="str">
        <f>VLOOKUP(A130,[1]备料总表!$B:$I,8,0)</f>
        <v>99-000144</v>
      </c>
      <c r="C130" s="3" t="str">
        <f>VLOOKUP(A130,[1]备料总表!$B:$I,2,0)</f>
        <v>2*3.5"后置硬盘背板组件(OEM专用)</v>
      </c>
      <c r="D130" s="1" t="str">
        <f>VLOOKUP(A130,[1]备料总表!$B:$I,4,0)</f>
        <v>后置硬盘背板</v>
      </c>
      <c r="E130" s="2" t="s">
        <v>95</v>
      </c>
      <c r="F130" s="4">
        <v>1</v>
      </c>
      <c r="G130" s="1" t="s">
        <v>194</v>
      </c>
      <c r="H130" s="3" t="e">
        <f>VLOOKUP(B130,[2]各库区库存!$A:$B,2,0)</f>
        <v>#N/A</v>
      </c>
    </row>
    <row r="131" spans="1:8" s="1" customFormat="1">
      <c r="A131" s="1" t="s">
        <v>195</v>
      </c>
      <c r="B131" s="2" t="str">
        <f>VLOOKUP(A131,[1]备料总表!$B:$I,8,0)</f>
        <v>99-000146</v>
      </c>
      <c r="C131" s="3" t="str">
        <f>VLOOKUP(A131,[1]备料总表!$B:$I,2,0)</f>
        <v>后置 PSU 4*2.5寸硬盘背板(支持NVME)-A722</v>
      </c>
      <c r="D131" s="1" t="str">
        <f>VLOOKUP(A131,[1]备料总表!$B:$I,4,0)</f>
        <v>后置硬盘背板</v>
      </c>
      <c r="E131" s="2" t="s">
        <v>19</v>
      </c>
      <c r="F131" s="4">
        <v>1</v>
      </c>
      <c r="G131" s="1" t="s">
        <v>196</v>
      </c>
      <c r="H131" s="3" t="e">
        <f>VLOOKUP(B131,[2]各库区库存!$A:$B,2,0)</f>
        <v>#N/A</v>
      </c>
    </row>
    <row r="132" spans="1:8" s="1" customFormat="1">
      <c r="A132" s="1" t="s">
        <v>197</v>
      </c>
      <c r="B132" s="2" t="str">
        <f>VLOOKUP(A132,[1]备料总表!$B:$I,8,0)</f>
        <v>99-000413</v>
      </c>
      <c r="C132" s="3" t="str">
        <f>VLOOKUP(A132,[1]备料总表!$B:$I,2,0)</f>
        <v>S主板 S920X02-5250-AF 4*(920,48C)1711-3A</v>
      </c>
      <c r="D132" s="1" t="str">
        <f>VLOOKUP(A132,[1]备料总表!$B:$I,4,0)</f>
        <v>主板</v>
      </c>
      <c r="E132" s="2" t="s">
        <v>198</v>
      </c>
      <c r="F132" s="4">
        <v>1</v>
      </c>
      <c r="G132" s="1" t="s">
        <v>199</v>
      </c>
      <c r="H132" s="3" t="e">
        <f>VLOOKUP(B132,[2]各库区库存!$A:$B,2,0)</f>
        <v>#N/A</v>
      </c>
    </row>
    <row r="133" spans="1:8" s="1" customFormat="1">
      <c r="A133" s="1" t="s">
        <v>197</v>
      </c>
      <c r="B133" s="2" t="str">
        <f>VLOOKUP(A133,[1]备料总表!$B:$I,8,0)</f>
        <v>99-000413</v>
      </c>
      <c r="C133" s="3" t="str">
        <f>VLOOKUP(A133,[1]备料总表!$B:$I,2,0)</f>
        <v>S主板 S920X02-5250-AF 4*(920,48C)1711-3A</v>
      </c>
      <c r="D133" s="1" t="str">
        <f>VLOOKUP(A133,[1]备料总表!$B:$I,4,0)</f>
        <v>主板</v>
      </c>
      <c r="E133" s="2" t="s">
        <v>45</v>
      </c>
      <c r="F133" s="4">
        <v>1</v>
      </c>
      <c r="G133" s="1" t="s">
        <v>200</v>
      </c>
      <c r="H133" s="3" t="e">
        <f>VLOOKUP(B133,[2]各库区库存!$A:$B,2,0)</f>
        <v>#N/A</v>
      </c>
    </row>
    <row r="134" spans="1:8" s="1" customFormat="1">
      <c r="A134" s="1" t="s">
        <v>197</v>
      </c>
      <c r="B134" s="2" t="str">
        <f>VLOOKUP(A134,[1]备料总表!$B:$I,8,0)</f>
        <v>99-000413</v>
      </c>
      <c r="C134" s="3" t="str">
        <f>VLOOKUP(A134,[1]备料总表!$B:$I,2,0)</f>
        <v>S主板 S920X02-5250-AF 4*(920,48C)1711-3A</v>
      </c>
      <c r="D134" s="1" t="str">
        <f>VLOOKUP(A134,[1]备料总表!$B:$I,4,0)</f>
        <v>主板</v>
      </c>
      <c r="E134" s="2" t="s">
        <v>201</v>
      </c>
      <c r="F134" s="4">
        <v>1</v>
      </c>
      <c r="G134" s="1" t="s">
        <v>202</v>
      </c>
      <c r="H134" s="3" t="e">
        <f>VLOOKUP(B134,[2]各库区库存!$A:$B,2,0)</f>
        <v>#N/A</v>
      </c>
    </row>
    <row r="135" spans="1:8" s="1" customFormat="1">
      <c r="A135" s="1" t="s">
        <v>197</v>
      </c>
      <c r="B135" s="2" t="str">
        <f>VLOOKUP(A135,[1]备料总表!$B:$I,8,0)</f>
        <v>99-000413</v>
      </c>
      <c r="C135" s="3" t="str">
        <f>VLOOKUP(A135,[1]备料总表!$B:$I,2,0)</f>
        <v>S主板 S920X02-5250-AF 4*(920,48C)1711-3A</v>
      </c>
      <c r="D135" s="1" t="str">
        <f>VLOOKUP(A135,[1]备料总表!$B:$I,4,0)</f>
        <v>主板</v>
      </c>
      <c r="E135" s="2" t="s">
        <v>27</v>
      </c>
      <c r="F135" s="4">
        <v>1</v>
      </c>
      <c r="G135" s="1" t="s">
        <v>203</v>
      </c>
      <c r="H135" s="3" t="e">
        <f>VLOOKUP(B135,[2]各库区库存!$A:$B,2,0)</f>
        <v>#N/A</v>
      </c>
    </row>
    <row r="136" spans="1:8" s="1" customFormat="1">
      <c r="A136" s="1" t="s">
        <v>197</v>
      </c>
      <c r="B136" s="2" t="str">
        <f>VLOOKUP(A136,[1]备料总表!$B:$I,8,0)</f>
        <v>99-000413</v>
      </c>
      <c r="C136" s="3" t="str">
        <f>VLOOKUP(A136,[1]备料总表!$B:$I,2,0)</f>
        <v>S主板 S920X02-5250-AF 4*(920,48C)1711-3A</v>
      </c>
      <c r="D136" s="1" t="str">
        <f>VLOOKUP(A136,[1]备料总表!$B:$I,4,0)</f>
        <v>主板</v>
      </c>
      <c r="E136" s="2" t="s">
        <v>32</v>
      </c>
      <c r="F136" s="4">
        <v>1</v>
      </c>
      <c r="G136" s="1" t="s">
        <v>54</v>
      </c>
      <c r="H136" s="3" t="e">
        <f>VLOOKUP(B136,[2]各库区库存!$A:$B,2,0)</f>
        <v>#N/A</v>
      </c>
    </row>
    <row r="137" spans="1:8" s="1" customFormat="1">
      <c r="A137" s="1" t="s">
        <v>197</v>
      </c>
      <c r="B137" s="2" t="str">
        <f>VLOOKUP(A137,[1]备料总表!$B:$I,8,0)</f>
        <v>99-000413</v>
      </c>
      <c r="C137" s="3" t="str">
        <f>VLOOKUP(A137,[1]备料总表!$B:$I,2,0)</f>
        <v>S主板 S920X02-5250-AF 4*(920,48C)1711-3A</v>
      </c>
      <c r="D137" s="1" t="str">
        <f>VLOOKUP(A137,[1]备料总表!$B:$I,4,0)</f>
        <v>主板</v>
      </c>
      <c r="E137" s="2" t="s">
        <v>204</v>
      </c>
      <c r="F137" s="6">
        <v>1</v>
      </c>
      <c r="G137" s="1" t="s">
        <v>205</v>
      </c>
      <c r="H137" s="3" t="e">
        <f>VLOOKUP(B137,[2]各库区库存!$A:$B,2,0)</f>
        <v>#N/A</v>
      </c>
    </row>
    <row r="138" spans="1:8" s="1" customFormat="1">
      <c r="A138" s="1" t="s">
        <v>206</v>
      </c>
      <c r="B138" s="2" t="str">
        <f>VLOOKUP(A138,[1]备料总表!$B:$I,8,0)</f>
        <v>99-000419</v>
      </c>
      <c r="C138" s="3" t="str">
        <f>VLOOKUP(A138,[1]备料总表!$B:$I,2,0)</f>
        <v>RAID标卡Avago3408 无Cache-X8-全高半长</v>
      </c>
      <c r="D138" s="1" t="str">
        <f>VLOOKUP(A138,[1]备料总表!$B:$I,4,0)</f>
        <v>RAID卡</v>
      </c>
      <c r="E138" s="2" t="s">
        <v>12</v>
      </c>
      <c r="F138" s="4">
        <v>1</v>
      </c>
      <c r="G138" s="1" t="s">
        <v>207</v>
      </c>
      <c r="H138" s="3" t="e">
        <f>VLOOKUP(B138,[2]各库区库存!$A:$B,2,0)</f>
        <v>#N/A</v>
      </c>
    </row>
    <row r="139" spans="1:8" s="1" customFormat="1">
      <c r="A139" s="1" t="s">
        <v>208</v>
      </c>
      <c r="B139" s="2" t="str">
        <f>VLOOKUP(A139,[1]备料总表!$B:$I,8,0)</f>
        <v>99-000426</v>
      </c>
      <c r="C139" s="3" t="str">
        <f>VLOOKUP(A139,[1]备料总表!$B:$I,2,0)</f>
        <v>#S主板S920X02-4*7260(64C@2.6)-AF-1711-3A</v>
      </c>
      <c r="D139" s="1" t="str">
        <f>VLOOKUP(A139,[1]备料总表!$B:$I,4,0)</f>
        <v>主板</v>
      </c>
      <c r="E139" s="2" t="s">
        <v>86</v>
      </c>
      <c r="F139" s="4">
        <v>1</v>
      </c>
      <c r="G139" s="1" t="s">
        <v>209</v>
      </c>
      <c r="H139" s="3" t="e">
        <f>VLOOKUP(B139,[2]各库区库存!$A:$B,2,0)</f>
        <v>#N/A</v>
      </c>
    </row>
    <row r="140" spans="1:8" s="1" customFormat="1">
      <c r="A140" s="1" t="s">
        <v>208</v>
      </c>
      <c r="B140" s="2" t="str">
        <f>VLOOKUP(A140,[1]备料总表!$B:$I,8,0)</f>
        <v>99-000426</v>
      </c>
      <c r="C140" s="3" t="str">
        <f>VLOOKUP(A140,[1]备料总表!$B:$I,2,0)</f>
        <v>#S主板S920X02-4*7260(64C@2.6)-AF-1711-3A</v>
      </c>
      <c r="D140" s="1" t="str">
        <f>VLOOKUP(A140,[1]备料总表!$B:$I,4,0)</f>
        <v>主板</v>
      </c>
      <c r="E140" s="2" t="s">
        <v>9</v>
      </c>
      <c r="F140" s="4">
        <v>1</v>
      </c>
      <c r="G140" s="2" t="s">
        <v>210</v>
      </c>
      <c r="H140" s="3" t="e">
        <f>VLOOKUP(B140,[2]各库区库存!$A:$B,2,0)</f>
        <v>#N/A</v>
      </c>
    </row>
    <row r="141" spans="1:8" s="1" customFormat="1">
      <c r="A141" s="1" t="s">
        <v>211</v>
      </c>
      <c r="B141" s="2" t="str">
        <f>VLOOKUP(A141,[1]备料总表!$B:$I,8,0)</f>
        <v>99-000446</v>
      </c>
      <c r="C141" s="3" t="str">
        <f>VLOOKUP(A141,[1]备料总表!$B:$I,2,0)</f>
        <v>制成板-PCIE提升卡2_2-3*16X SLOT(1*X16+2*X8）</v>
      </c>
      <c r="D141" s="1" t="str">
        <f>VLOOKUP(A141,[1]备料总表!$B:$I,4,0)</f>
        <v>Riser模组</v>
      </c>
      <c r="E141" s="2" t="s">
        <v>83</v>
      </c>
      <c r="F141" s="4">
        <v>1</v>
      </c>
      <c r="G141" s="1" t="s">
        <v>212</v>
      </c>
      <c r="H141" s="3" t="e">
        <f>VLOOKUP(B141,[2]各库区库存!$A:$B,2,0)</f>
        <v>#N/A</v>
      </c>
    </row>
    <row r="142" spans="1:8" s="1" customFormat="1">
      <c r="A142" s="1" t="s">
        <v>213</v>
      </c>
      <c r="B142" s="2" t="str">
        <f>VLOOKUP(A142,[1]备料总表!$B:$I,8,0)</f>
        <v>99-000662</v>
      </c>
      <c r="C142" s="3" t="str">
        <f>VLOOKUP(A142,[1]备料总表!$B:$I,2,0)</f>
        <v>SSD ES3510SV5-960G-SAS-12G-2.5读取HW V1.0</v>
      </c>
      <c r="D142" s="1" t="str">
        <f>VLOOKUP(A142,[1]备料总表!$B:$I,4,0)</f>
        <v>硬盘</v>
      </c>
      <c r="E142" s="2" t="s">
        <v>12</v>
      </c>
      <c r="F142" s="4">
        <v>1</v>
      </c>
      <c r="G142" s="1" t="s">
        <v>13</v>
      </c>
      <c r="H142" s="3" t="e">
        <f>VLOOKUP(B142,[2]各库区库存!$A:$B,2,0)</f>
        <v>#N/A</v>
      </c>
    </row>
    <row r="143" spans="1:8" s="1" customFormat="1">
      <c r="A143" s="1" t="s">
        <v>214</v>
      </c>
      <c r="B143" s="2" t="str">
        <f>VLOOKUP(A143,[1]备料总表!$B:$I,8,0)</f>
        <v>99-000704</v>
      </c>
      <c r="C143" s="3" t="str">
        <f>VLOOKUP(A143,[1]备料总表!$B:$I,2,0)</f>
        <v>#S主板S920X00K-2*5251K(48C@2.6)-AH-1711</v>
      </c>
      <c r="D143" s="1" t="str">
        <f>VLOOKUP(A143,[1]备料总表!$B:$I,4,0)</f>
        <v>主板</v>
      </c>
      <c r="E143" s="2" t="s">
        <v>215</v>
      </c>
      <c r="F143" s="4">
        <v>1</v>
      </c>
      <c r="G143" s="1" t="s">
        <v>216</v>
      </c>
      <c r="H143" s="3" t="e">
        <f>VLOOKUP(B143,[2]各库区库存!$A:$B,2,0)</f>
        <v>#N/A</v>
      </c>
    </row>
    <row r="144" spans="1:8" s="1" customFormat="1">
      <c r="A144" s="1" t="s">
        <v>217</v>
      </c>
      <c r="B144" s="2" t="str">
        <f>VLOOKUP(A144,[1]备料总表!$B:$I,8,0)</f>
        <v>99-000706</v>
      </c>
      <c r="C144" s="3" t="str">
        <f>VLOOKUP(A144,[1]备料总表!$B:$I,2,0)</f>
        <v>S主板S920X00K-2*7261K(64C@2.6)-BC-VD</v>
      </c>
      <c r="D144" s="1" t="str">
        <f>VLOOKUP(A144,[1]备料总表!$B:$I,4,0)</f>
        <v>主板</v>
      </c>
      <c r="E144" s="2" t="s">
        <v>19</v>
      </c>
      <c r="F144" s="4">
        <v>1</v>
      </c>
      <c r="G144" s="1" t="s">
        <v>218</v>
      </c>
      <c r="H144" s="3" t="e">
        <f>VLOOKUP(B144,[2]各库区库存!$A:$B,2,0)</f>
        <v>#N/A</v>
      </c>
    </row>
    <row r="145" spans="1:9" s="1" customFormat="1">
      <c r="A145" s="1" t="s">
        <v>219</v>
      </c>
      <c r="B145" s="2" t="str">
        <f>VLOOKUP(A145,[1]备料总表!$B:$I,8,0)</f>
        <v>99-000707</v>
      </c>
      <c r="C145" s="3" t="str">
        <f>VLOOKUP(A145,[1]备料总表!$B:$I,2,0)</f>
        <v>S主板 S920S00-2*3210 (24C@2.6)-AL-VE-1711</v>
      </c>
      <c r="D145" s="1" t="str">
        <f>VLOOKUP(A145,[1]备料总表!$B:$I,4,0)</f>
        <v>主板</v>
      </c>
      <c r="E145" s="2" t="s">
        <v>220</v>
      </c>
      <c r="F145" s="4">
        <v>1</v>
      </c>
      <c r="G145" s="1" t="s">
        <v>221</v>
      </c>
      <c r="H145" s="3" t="e">
        <f>VLOOKUP(B145,[2]各库区库存!$A:$B,2,0)</f>
        <v>#N/A</v>
      </c>
    </row>
    <row r="146" spans="1:9" s="1" customFormat="1">
      <c r="A146" s="1" t="s">
        <v>219</v>
      </c>
      <c r="B146" s="2" t="str">
        <f>VLOOKUP(A146,[1]备料总表!$B:$I,8,0)</f>
        <v>99-000707</v>
      </c>
      <c r="C146" s="3" t="str">
        <f>VLOOKUP(A146,[1]备料总表!$B:$I,2,0)</f>
        <v>S主板 S920S00-2*3210 (24C@2.6)-AL-VE-1711</v>
      </c>
      <c r="D146" s="1" t="str">
        <f>VLOOKUP(A146,[1]备料总表!$B:$I,4,0)</f>
        <v>主板</v>
      </c>
      <c r="E146" s="2" t="s">
        <v>201</v>
      </c>
      <c r="F146" s="4">
        <v>1</v>
      </c>
      <c r="G146" s="1" t="s">
        <v>222</v>
      </c>
      <c r="H146" s="3" t="e">
        <f>VLOOKUP(B146,[2]各库区库存!$A:$B,2,0)</f>
        <v>#N/A</v>
      </c>
    </row>
    <row r="147" spans="1:9" s="1" customFormat="1">
      <c r="A147" s="1" t="s">
        <v>219</v>
      </c>
      <c r="B147" s="2" t="str">
        <f>VLOOKUP(A147,[1]备料总表!$B:$I,8,0)</f>
        <v>99-000707</v>
      </c>
      <c r="C147" s="3" t="str">
        <f>VLOOKUP(A147,[1]备料总表!$B:$I,2,0)</f>
        <v>S主板 S920S00-2*3210 (24C@2.6)-AL-VE-1711</v>
      </c>
      <c r="D147" s="1" t="str">
        <f>VLOOKUP(A147,[1]备料总表!$B:$I,4,0)</f>
        <v>主板</v>
      </c>
      <c r="E147" s="2" t="s">
        <v>223</v>
      </c>
      <c r="F147" s="4">
        <v>1</v>
      </c>
      <c r="G147" s="1" t="s">
        <v>224</v>
      </c>
      <c r="H147" s="3" t="e">
        <f>VLOOKUP(B147,[2]各库区库存!$A:$B,2,0)</f>
        <v>#N/A</v>
      </c>
    </row>
    <row r="148" spans="1:9" s="1" customFormat="1">
      <c r="A148" s="1" t="s">
        <v>219</v>
      </c>
      <c r="B148" s="2" t="str">
        <f>VLOOKUP(A148,[1]备料总表!$B:$I,8,0)</f>
        <v>99-000707</v>
      </c>
      <c r="C148" s="3" t="str">
        <f>VLOOKUP(A148,[1]备料总表!$B:$I,2,0)</f>
        <v>S主板 S920S00-2*3210 (24C@2.6)-AL-VE-1711</v>
      </c>
      <c r="D148" s="1" t="str">
        <f>VLOOKUP(A148,[1]备料总表!$B:$I,4,0)</f>
        <v>主板</v>
      </c>
      <c r="E148" s="2" t="s">
        <v>35</v>
      </c>
      <c r="F148" s="4">
        <v>1</v>
      </c>
      <c r="G148" s="1" t="s">
        <v>225</v>
      </c>
      <c r="H148" s="3" t="e">
        <f>VLOOKUP(B148,[2]各库区库存!$A:$B,2,0)</f>
        <v>#N/A</v>
      </c>
    </row>
    <row r="149" spans="1:9" s="1" customFormat="1">
      <c r="A149" s="1" t="s">
        <v>219</v>
      </c>
      <c r="B149" s="2" t="str">
        <f>VLOOKUP(A149,[1]备料总表!$B:$I,8,0)</f>
        <v>99-000707</v>
      </c>
      <c r="C149" s="3" t="str">
        <f>VLOOKUP(A149,[1]备料总表!$B:$I,2,0)</f>
        <v>S主板 S920S00-2*3210 (24C@2.6)-AL-VE-1711</v>
      </c>
      <c r="D149" s="1" t="str">
        <f>VLOOKUP(A149,[1]备料总表!$B:$I,4,0)</f>
        <v>主板</v>
      </c>
      <c r="E149" s="2" t="s">
        <v>39</v>
      </c>
      <c r="F149" s="4">
        <v>1</v>
      </c>
      <c r="G149" s="1" t="s">
        <v>136</v>
      </c>
      <c r="H149" s="3" t="e">
        <f>VLOOKUP(B149,[2]各库区库存!$A:$B,2,0)</f>
        <v>#N/A</v>
      </c>
    </row>
    <row r="150" spans="1:9" s="1" customFormat="1">
      <c r="A150" s="1" t="s">
        <v>219</v>
      </c>
      <c r="B150" s="2" t="str">
        <f>VLOOKUP(A150,[1]备料总表!$B:$I,8,0)</f>
        <v>99-000707</v>
      </c>
      <c r="C150" s="3" t="str">
        <f>VLOOKUP(A150,[1]备料总表!$B:$I,2,0)</f>
        <v>S主板 S920S00-2*3210 (24C@2.6)-AL-VE-1711</v>
      </c>
      <c r="D150" s="1" t="str">
        <f>VLOOKUP(A150,[1]备料总表!$B:$I,4,0)</f>
        <v>主板</v>
      </c>
      <c r="E150" s="2" t="s">
        <v>33</v>
      </c>
      <c r="F150" s="4">
        <v>1</v>
      </c>
      <c r="G150" s="1" t="s">
        <v>226</v>
      </c>
      <c r="H150" s="3" t="e">
        <f>VLOOKUP(B150,[2]各库区库存!$A:$B,2,0)</f>
        <v>#N/A</v>
      </c>
    </row>
    <row r="151" spans="1:9" s="1" customFormat="1">
      <c r="A151" s="1" t="s">
        <v>219</v>
      </c>
      <c r="B151" s="2" t="str">
        <f>VLOOKUP(A151,[1]备料总表!$B:$I,8,0)</f>
        <v>99-000707</v>
      </c>
      <c r="C151" s="3" t="str">
        <f>VLOOKUP(A151,[1]备料总表!$B:$I,2,0)</f>
        <v>S主板 S920S00-2*3210 (24C@2.6)-AL-VE-1711</v>
      </c>
      <c r="D151" s="1" t="str">
        <f>VLOOKUP(A151,[1]备料总表!$B:$I,4,0)</f>
        <v>主板</v>
      </c>
      <c r="E151" s="2" t="s">
        <v>198</v>
      </c>
      <c r="F151" s="4">
        <v>1</v>
      </c>
      <c r="G151" s="1" t="s">
        <v>227</v>
      </c>
      <c r="H151" s="3" t="e">
        <f>VLOOKUP(B151,[2]各库区库存!$A:$B,2,0)</f>
        <v>#N/A</v>
      </c>
    </row>
    <row r="152" spans="1:9" s="2" customFormat="1">
      <c r="A152" s="1" t="s">
        <v>219</v>
      </c>
      <c r="B152" s="2" t="str">
        <f>VLOOKUP(A152,[1]备料总表!$B:$I,8,0)</f>
        <v>99-000707</v>
      </c>
      <c r="C152" s="3" t="str">
        <f>VLOOKUP(A152,[1]备料总表!$B:$I,2,0)</f>
        <v>S主板 S920S00-2*3210 (24C@2.6)-AL-VE-1711</v>
      </c>
      <c r="D152" s="1" t="str">
        <f>VLOOKUP(A152,[1]备料总表!$B:$I,4,0)</f>
        <v>主板</v>
      </c>
      <c r="E152" s="2" t="s">
        <v>48</v>
      </c>
      <c r="F152" s="4">
        <v>1</v>
      </c>
      <c r="G152" s="1" t="s">
        <v>142</v>
      </c>
      <c r="H152" s="3" t="e">
        <f>VLOOKUP(B152,[2]各库区库存!$A:$B,2,0)</f>
        <v>#N/A</v>
      </c>
      <c r="I152" s="1"/>
    </row>
    <row r="153" spans="1:9" s="1" customFormat="1">
      <c r="A153" s="1" t="s">
        <v>219</v>
      </c>
      <c r="B153" s="2" t="str">
        <f>VLOOKUP(A153,[1]备料总表!$B:$I,8,0)</f>
        <v>99-000707</v>
      </c>
      <c r="C153" s="3" t="str">
        <f>VLOOKUP(A153,[1]备料总表!$B:$I,2,0)</f>
        <v>S主板 S920S00-2*3210 (24C@2.6)-AL-VE-1711</v>
      </c>
      <c r="D153" s="1" t="str">
        <f>VLOOKUP(A153,[1]备料总表!$B:$I,4,0)</f>
        <v>主板</v>
      </c>
      <c r="E153" s="2" t="s">
        <v>71</v>
      </c>
      <c r="F153" s="4">
        <v>1</v>
      </c>
      <c r="G153" s="1" t="s">
        <v>228</v>
      </c>
      <c r="H153" s="3" t="e">
        <f>VLOOKUP(B153,[2]各库区库存!$A:$B,2,0)</f>
        <v>#N/A</v>
      </c>
    </row>
    <row r="154" spans="1:9" s="1" customFormat="1">
      <c r="A154" s="1" t="s">
        <v>219</v>
      </c>
      <c r="B154" s="2" t="str">
        <f>VLOOKUP(A154,[1]备料总表!$B:$I,8,0)</f>
        <v>99-000707</v>
      </c>
      <c r="C154" s="3" t="str">
        <f>VLOOKUP(A154,[1]备料总表!$B:$I,2,0)</f>
        <v>S主板 S920S00-2*3210 (24C@2.6)-AL-VE-1711</v>
      </c>
      <c r="D154" s="1" t="str">
        <f>VLOOKUP(A154,[1]备料总表!$B:$I,4,0)</f>
        <v>主板</v>
      </c>
      <c r="E154" s="2" t="s">
        <v>229</v>
      </c>
      <c r="F154" s="4">
        <v>1</v>
      </c>
      <c r="G154" s="1" t="s">
        <v>230</v>
      </c>
      <c r="H154" s="3" t="e">
        <f>VLOOKUP(B154,[2]各库区库存!$A:$B,2,0)</f>
        <v>#N/A</v>
      </c>
    </row>
    <row r="155" spans="1:9" s="1" customFormat="1">
      <c r="A155" s="1" t="s">
        <v>219</v>
      </c>
      <c r="B155" s="2" t="str">
        <f>VLOOKUP(A155,[1]备料总表!$B:$I,8,0)</f>
        <v>99-000707</v>
      </c>
      <c r="C155" s="3" t="str">
        <f>VLOOKUP(A155,[1]备料总表!$B:$I,2,0)</f>
        <v>S主板 S920S00-2*3210 (24C@2.6)-AL-VE-1711</v>
      </c>
      <c r="D155" s="1" t="str">
        <f>VLOOKUP(A155,[1]备料总表!$B:$I,4,0)</f>
        <v>主板</v>
      </c>
      <c r="E155" s="2" t="s">
        <v>231</v>
      </c>
      <c r="F155" s="4">
        <v>1</v>
      </c>
      <c r="G155" s="1" t="s">
        <v>232</v>
      </c>
      <c r="H155" s="3" t="e">
        <f>VLOOKUP(B155,[2]各库区库存!$A:$B,2,0)</f>
        <v>#N/A</v>
      </c>
    </row>
    <row r="156" spans="1:9" s="1" customFormat="1">
      <c r="A156" s="1" t="s">
        <v>233</v>
      </c>
      <c r="B156" s="2" t="str">
        <f>VLOOKUP(A156,[1]备料总表!$B:$I,8,0)</f>
        <v>99-000708</v>
      </c>
      <c r="C156" s="3" t="str">
        <f>VLOOKUP(A156,[1]备料总表!$B:$I,2,0)</f>
        <v>S主板S920S00-2*5220(32C@2.6)-AJ-VE-1711</v>
      </c>
      <c r="D156" s="1" t="str">
        <f>VLOOKUP(A156,[1]备料总表!$B:$I,4,0)</f>
        <v>主板</v>
      </c>
      <c r="E156" s="2" t="s">
        <v>234</v>
      </c>
      <c r="F156" s="4">
        <v>1</v>
      </c>
      <c r="G156" s="1" t="s">
        <v>235</v>
      </c>
      <c r="H156" s="3" t="e">
        <f>VLOOKUP(B156,[2]各库区库存!$A:$B,2,0)</f>
        <v>#N/A</v>
      </c>
    </row>
    <row r="157" spans="1:9" s="1" customFormat="1">
      <c r="A157" s="1" t="s">
        <v>236</v>
      </c>
      <c r="B157" s="2" t="str">
        <f>VLOOKUP(A157,[1]备料总表!$B:$I,8,0)</f>
        <v>99-000710</v>
      </c>
      <c r="C157" s="3" t="str">
        <f>VLOOKUP(A157,[1]备料总表!$B:$I,2,0)</f>
        <v>S主板 S920X01-7260-AE 1*920,64C</v>
      </c>
      <c r="D157" s="1" t="str">
        <f>VLOOKUP(A157,[1]备料总表!$B:$I,4,0)</f>
        <v>主板</v>
      </c>
      <c r="E157" s="2" t="s">
        <v>22</v>
      </c>
      <c r="F157" s="4">
        <v>1</v>
      </c>
      <c r="G157" s="1" t="s">
        <v>237</v>
      </c>
      <c r="H157" s="3" t="e">
        <f>VLOOKUP(B157,[2]各库区库存!$A:$B,2,0)</f>
        <v>#N/A</v>
      </c>
    </row>
    <row r="158" spans="1:9" s="1" customFormat="1">
      <c r="A158" s="1" t="s">
        <v>236</v>
      </c>
      <c r="B158" s="2" t="str">
        <f>VLOOKUP(A158,[1]备料总表!$B:$I,8,0)</f>
        <v>99-000710</v>
      </c>
      <c r="C158" s="3" t="str">
        <f>VLOOKUP(A158,[1]备料总表!$B:$I,2,0)</f>
        <v>S主板 S920X01-7260-AE 1*920,64C</v>
      </c>
      <c r="D158" s="1" t="str">
        <f>VLOOKUP(A158,[1]备料总表!$B:$I,4,0)</f>
        <v>主板</v>
      </c>
      <c r="E158" s="2" t="s">
        <v>71</v>
      </c>
      <c r="F158" s="4">
        <v>1</v>
      </c>
      <c r="G158" s="1" t="s">
        <v>238</v>
      </c>
      <c r="H158" s="3" t="e">
        <f>VLOOKUP(B158,[2]各库区库存!$A:$B,2,0)</f>
        <v>#N/A</v>
      </c>
    </row>
    <row r="159" spans="1:9" s="1" customFormat="1">
      <c r="A159" s="1" t="s">
        <v>239</v>
      </c>
      <c r="B159" s="2" t="str">
        <f>VLOOKUP(A159,[1]备料总表!$B:$I,8,0)</f>
        <v>99-000711</v>
      </c>
      <c r="C159" s="3" t="str">
        <f>VLOOKUP(A159,[1]备料总表!$B:$I,2,0)</f>
        <v>S主板S920X00-2*5250(48C@2.6)-BJ-1711-VD-3A</v>
      </c>
      <c r="D159" s="1" t="str">
        <f>VLOOKUP(A159,[1]备料总表!$B:$I,4,0)</f>
        <v>主板</v>
      </c>
      <c r="E159" s="2" t="s">
        <v>48</v>
      </c>
      <c r="F159" s="4">
        <v>1</v>
      </c>
      <c r="G159" s="1" t="s">
        <v>240</v>
      </c>
      <c r="H159" s="3" t="e">
        <f>VLOOKUP(B159,[2]各库区库存!$A:$B,2,0)</f>
        <v>#N/A</v>
      </c>
    </row>
    <row r="160" spans="1:9" s="1" customFormat="1">
      <c r="A160" s="1" t="s">
        <v>239</v>
      </c>
      <c r="B160" s="2" t="str">
        <f>VLOOKUP(A160,[1]备料总表!$B:$I,8,0)</f>
        <v>99-000711</v>
      </c>
      <c r="C160" s="3" t="str">
        <f>VLOOKUP(A160,[1]备料总表!$B:$I,2,0)</f>
        <v>S主板S920X00-2*5250(48C@2.6)-BJ-1711-VD-3A</v>
      </c>
      <c r="D160" s="1" t="str">
        <f>VLOOKUP(A160,[1]备料总表!$B:$I,4,0)</f>
        <v>主板</v>
      </c>
      <c r="E160" s="2" t="s">
        <v>241</v>
      </c>
      <c r="F160" s="4">
        <v>1</v>
      </c>
      <c r="G160" s="1" t="s">
        <v>82</v>
      </c>
      <c r="H160" s="3" t="e">
        <f>VLOOKUP(B160,[2]各库区库存!$A:$B,2,0)</f>
        <v>#N/A</v>
      </c>
    </row>
    <row r="161" spans="1:8" s="1" customFormat="1">
      <c r="A161" s="1" t="s">
        <v>239</v>
      </c>
      <c r="B161" s="2" t="str">
        <f>VLOOKUP(A161,[1]备料总表!$B:$I,8,0)</f>
        <v>99-000711</v>
      </c>
      <c r="C161" s="3" t="str">
        <f>VLOOKUP(A161,[1]备料总表!$B:$I,2,0)</f>
        <v>S主板S920X00-2*5250(48C@2.6)-BJ-1711-VD-3A</v>
      </c>
      <c r="D161" s="1" t="str">
        <f>VLOOKUP(A161,[1]备料总表!$B:$I,4,0)</f>
        <v>主板</v>
      </c>
      <c r="E161" s="2" t="s">
        <v>81</v>
      </c>
      <c r="F161" s="4">
        <v>1</v>
      </c>
      <c r="G161" s="2" t="s">
        <v>242</v>
      </c>
      <c r="H161" s="3" t="e">
        <f>VLOOKUP(B161,[2]各库区库存!$A:$B,2,0)</f>
        <v>#N/A</v>
      </c>
    </row>
    <row r="162" spans="1:8" s="1" customFormat="1">
      <c r="A162" s="1" t="s">
        <v>243</v>
      </c>
      <c r="B162" s="2" t="str">
        <f>VLOOKUP(A162,[1]备料总表!$B:$I,8,0)</f>
        <v>99-000712</v>
      </c>
      <c r="C162" s="3" t="str">
        <f>VLOOKUP(A162,[1]备料总表!$B:$I,2,0)</f>
        <v>#S主板S920X00-2*7260(64C@2.6)-AH-1710</v>
      </c>
      <c r="D162" s="1" t="str">
        <f>VLOOKUP(A162,[1]备料总表!$B:$I,4,0)</f>
        <v>主板</v>
      </c>
      <c r="E162" s="2" t="s">
        <v>241</v>
      </c>
      <c r="F162" s="4">
        <v>1</v>
      </c>
      <c r="G162" s="1" t="s">
        <v>244</v>
      </c>
      <c r="H162" s="3" t="e">
        <f>VLOOKUP(B162,[2]各库区库存!$A:$B,2,0)</f>
        <v>#N/A</v>
      </c>
    </row>
    <row r="163" spans="1:8" s="1" customFormat="1">
      <c r="A163" s="1" t="s">
        <v>245</v>
      </c>
      <c r="B163" s="2" t="str">
        <f>VLOOKUP(A163,[1]备料总表!$B:$I,8,0)</f>
        <v>99-000755</v>
      </c>
      <c r="C163" s="3" t="str">
        <f>VLOOKUP(A163,[1]备料总表!$B:$I,2,0)</f>
        <v>AI推理卡Atlas A300-3000 x16(HHHL)DDR4*8G</v>
      </c>
      <c r="D163" s="1" t="str">
        <f>VLOOKUP(A163,[1]备料总表!$B:$I,4,0)</f>
        <v>AI推理卡</v>
      </c>
      <c r="E163" s="2" t="s">
        <v>215</v>
      </c>
      <c r="F163" s="4">
        <v>1</v>
      </c>
      <c r="G163" s="1" t="s">
        <v>246</v>
      </c>
      <c r="H163" s="3" t="e">
        <f>VLOOKUP(B163,[2]各库区库存!$A:$B,2,0)</f>
        <v>#N/A</v>
      </c>
    </row>
    <row r="164" spans="1:8" s="1" customFormat="1">
      <c r="A164" s="1" t="s">
        <v>247</v>
      </c>
      <c r="B164" s="2" t="str">
        <f>VLOOKUP(A164,[1]备料总表!$B:$I,8,0)</f>
        <v>99-001003</v>
      </c>
      <c r="C164" s="3" t="str">
        <f>VLOOKUP(A164,[1]备料总表!$B:$I,2,0)</f>
        <v>#S主板S920S00K-2*5221K(32C@2.6)-AF-VD-1711</v>
      </c>
      <c r="D164" s="1" t="str">
        <f>VLOOKUP(A164,[1]备料总表!$B:$I,4,0)</f>
        <v>主板</v>
      </c>
      <c r="E164" s="2" t="s">
        <v>220</v>
      </c>
      <c r="F164" s="4">
        <v>1</v>
      </c>
      <c r="G164" s="1" t="s">
        <v>248</v>
      </c>
      <c r="H164" s="3" t="e">
        <f>VLOOKUP(B164,[2]各库区库存!$A:$B,2,0)</f>
        <v>#N/A</v>
      </c>
    </row>
    <row r="165" spans="1:8" s="1" customFormat="1">
      <c r="A165" s="1" t="s">
        <v>247</v>
      </c>
      <c r="B165" s="2" t="str">
        <f>VLOOKUP(A165,[1]备料总表!$B:$I,8,0)</f>
        <v>99-001003</v>
      </c>
      <c r="C165" s="3" t="str">
        <f>VLOOKUP(A165,[1]备料总表!$B:$I,2,0)</f>
        <v>#S主板S920S00K-2*5221K(32C@2.6)-AF-VD-1711</v>
      </c>
      <c r="D165" s="1" t="str">
        <f>VLOOKUP(A165,[1]备料总表!$B:$I,4,0)</f>
        <v>主板</v>
      </c>
      <c r="E165" s="2" t="s">
        <v>45</v>
      </c>
      <c r="F165" s="4">
        <v>1</v>
      </c>
      <c r="G165" s="1" t="s">
        <v>249</v>
      </c>
      <c r="H165" s="3" t="e">
        <f>VLOOKUP(B165,[2]各库区库存!$A:$B,2,0)</f>
        <v>#N/A</v>
      </c>
    </row>
    <row r="166" spans="1:8" s="1" customFormat="1">
      <c r="A166" s="1" t="s">
        <v>247</v>
      </c>
      <c r="B166" s="2" t="str">
        <f>VLOOKUP(A166,[1]备料总表!$B:$I,8,0)</f>
        <v>99-001003</v>
      </c>
      <c r="C166" s="3" t="str">
        <f>VLOOKUP(A166,[1]备料总表!$B:$I,2,0)</f>
        <v>#S主板S920S00K-2*5221K(32C@2.6)-AF-VD-1711</v>
      </c>
      <c r="D166" s="1" t="str">
        <f>VLOOKUP(A166,[1]备料总表!$B:$I,4,0)</f>
        <v>主板</v>
      </c>
      <c r="E166" s="2" t="s">
        <v>39</v>
      </c>
      <c r="F166" s="4">
        <v>1</v>
      </c>
      <c r="G166" s="1" t="s">
        <v>250</v>
      </c>
      <c r="H166" s="3" t="e">
        <f>VLOOKUP(B166,[2]各库区库存!$A:$B,2,0)</f>
        <v>#N/A</v>
      </c>
    </row>
    <row r="167" spans="1:8" s="1" customFormat="1">
      <c r="A167" s="1" t="s">
        <v>247</v>
      </c>
      <c r="B167" s="2" t="str">
        <f>VLOOKUP(A167,[1]备料总表!$B:$I,8,0)</f>
        <v>99-001003</v>
      </c>
      <c r="C167" s="3" t="str">
        <f>VLOOKUP(A167,[1]备料总表!$B:$I,2,0)</f>
        <v>#S主板S920S00K-2*5221K(32C@2.6)-AF-VD-1711</v>
      </c>
      <c r="D167" s="1" t="str">
        <f>VLOOKUP(A167,[1]备料总表!$B:$I,4,0)</f>
        <v>主板</v>
      </c>
      <c r="E167" s="2" t="s">
        <v>27</v>
      </c>
      <c r="F167" s="4">
        <v>1</v>
      </c>
      <c r="G167" s="1" t="s">
        <v>251</v>
      </c>
      <c r="H167" s="3" t="e">
        <f>VLOOKUP(B167,[2]各库区库存!$A:$B,2,0)</f>
        <v>#N/A</v>
      </c>
    </row>
    <row r="168" spans="1:8" s="1" customFormat="1">
      <c r="A168" s="1" t="s">
        <v>247</v>
      </c>
      <c r="B168" s="2" t="str">
        <f>VLOOKUP(A168,[1]备料总表!$B:$I,8,0)</f>
        <v>99-001003</v>
      </c>
      <c r="C168" s="3" t="str">
        <f>VLOOKUP(A168,[1]备料总表!$B:$I,2,0)</f>
        <v>#S主板S920S00K-2*5221K(32C@2.6)-AF-VD-1711</v>
      </c>
      <c r="D168" s="1" t="str">
        <f>VLOOKUP(A168,[1]备料总表!$B:$I,4,0)</f>
        <v>主板</v>
      </c>
      <c r="E168" s="2" t="s">
        <v>53</v>
      </c>
      <c r="F168" s="4">
        <v>1</v>
      </c>
      <c r="G168" s="1" t="s">
        <v>252</v>
      </c>
      <c r="H168" s="3" t="e">
        <f>VLOOKUP(B168,[2]各库区库存!$A:$B,2,0)</f>
        <v>#N/A</v>
      </c>
    </row>
    <row r="169" spans="1:8" s="1" customFormat="1">
      <c r="A169" s="1" t="s">
        <v>247</v>
      </c>
      <c r="B169" s="2" t="str">
        <f>VLOOKUP(A169,[1]备料总表!$B:$I,8,0)</f>
        <v>99-001003</v>
      </c>
      <c r="C169" s="3" t="str">
        <f>VLOOKUP(A169,[1]备料总表!$B:$I,2,0)</f>
        <v>#S主板S920S00K-2*5221K(32C@2.6)-AF-VD-1711</v>
      </c>
      <c r="D169" s="1" t="str">
        <f>VLOOKUP(A169,[1]备料总表!$B:$I,4,0)</f>
        <v>主板</v>
      </c>
      <c r="E169" s="2" t="s">
        <v>48</v>
      </c>
      <c r="F169" s="4">
        <v>1</v>
      </c>
      <c r="G169" s="1" t="s">
        <v>253</v>
      </c>
      <c r="H169" s="3" t="e">
        <f>VLOOKUP(B169,[2]各库区库存!$A:$B,2,0)</f>
        <v>#N/A</v>
      </c>
    </row>
    <row r="170" spans="1:8" s="1" customFormat="1">
      <c r="A170" s="1" t="s">
        <v>247</v>
      </c>
      <c r="B170" s="2" t="str">
        <f>VLOOKUP(A170,[1]备料总表!$B:$I,8,0)</f>
        <v>99-001003</v>
      </c>
      <c r="C170" s="3" t="str">
        <f>VLOOKUP(A170,[1]备料总表!$B:$I,2,0)</f>
        <v>#S主板S920S00K-2*5221K(32C@2.6)-AF-VD-1711</v>
      </c>
      <c r="D170" s="1" t="str">
        <f>VLOOKUP(A170,[1]备料总表!$B:$I,4,0)</f>
        <v>主板</v>
      </c>
      <c r="E170" s="2" t="s">
        <v>65</v>
      </c>
      <c r="F170" s="4">
        <v>1</v>
      </c>
      <c r="G170" s="1" t="s">
        <v>254</v>
      </c>
      <c r="H170" s="3" t="e">
        <f>VLOOKUP(B170,[2]各库区库存!$A:$B,2,0)</f>
        <v>#N/A</v>
      </c>
    </row>
    <row r="171" spans="1:8" s="1" customFormat="1">
      <c r="A171" s="1" t="s">
        <v>255</v>
      </c>
      <c r="B171" s="2" t="str">
        <f>VLOOKUP(A171,[1]备料总表!$B:$I,8,0)</f>
        <v>99-001003</v>
      </c>
      <c r="C171" s="3" t="str">
        <f>VLOOKUP(A171,[1]备料总表!$B:$I,2,0)</f>
        <v>#S主板S920S00K-2*5221K(32C@2.6)-AJ-VE-1711</v>
      </c>
      <c r="D171" s="1" t="str">
        <f>VLOOKUP(A171,[1]备料总表!$B:$I,4,0)</f>
        <v>主板</v>
      </c>
      <c r="E171" s="2" t="s">
        <v>55</v>
      </c>
      <c r="F171" s="4">
        <v>1</v>
      </c>
      <c r="G171" s="1" t="s">
        <v>207</v>
      </c>
      <c r="H171" s="3" t="e">
        <f>VLOOKUP(B171,[2]各库区库存!$A:$B,2,0)</f>
        <v>#N/A</v>
      </c>
    </row>
    <row r="172" spans="1:8" s="1" customFormat="1">
      <c r="A172" s="1" t="s">
        <v>256</v>
      </c>
      <c r="B172" s="2" t="str">
        <f>VLOOKUP(A172,[1]备料总表!$B:$I,8,0)</f>
        <v>99-001004</v>
      </c>
      <c r="C172" s="3" t="str">
        <f>VLOOKUP(A172,[1]备料总表!$B:$I,2,0)</f>
        <v>S主板S920X00-5255 2*920,3.0GHz 48C 1711</v>
      </c>
      <c r="D172" s="1" t="str">
        <f>VLOOKUP(A172,[1]备料总表!$B:$I,4,0)</f>
        <v>主板</v>
      </c>
      <c r="E172" s="2" t="s">
        <v>12</v>
      </c>
      <c r="F172" s="4">
        <v>1</v>
      </c>
      <c r="G172" s="1" t="s">
        <v>257</v>
      </c>
      <c r="H172" s="3" t="e">
        <f>VLOOKUP(B172,[2]各库区库存!$A:$B,2,0)</f>
        <v>#N/A</v>
      </c>
    </row>
    <row r="173" spans="1:8" s="1" customFormat="1">
      <c r="A173" s="1" t="s">
        <v>258</v>
      </c>
      <c r="B173" s="2" t="str">
        <f>VLOOKUP(A173,[1]备料总表!$B:$I,8,0)</f>
        <v>99-001019</v>
      </c>
      <c r="C173" s="3" t="str">
        <f>VLOOKUP(A173,[1]备料总表!$B:$I,2,0)</f>
        <v>FC HBA卡-16Gb-LPe31002-双口-SFP+2光模块</v>
      </c>
      <c r="D173" s="1" t="str">
        <f>VLOOKUP(A173,[1]备料总表!$B:$I,4,0)</f>
        <v>HBA卡</v>
      </c>
      <c r="E173" s="2" t="s">
        <v>81</v>
      </c>
      <c r="F173" s="4">
        <v>1</v>
      </c>
      <c r="G173" s="1" t="s">
        <v>173</v>
      </c>
      <c r="H173" s="3" t="e">
        <f>VLOOKUP(B173,[2]各库区库存!$A:$B,2,0)</f>
        <v>#N/A</v>
      </c>
    </row>
    <row r="174" spans="1:8" s="1" customFormat="1">
      <c r="A174" s="1" t="s">
        <v>259</v>
      </c>
      <c r="B174" s="2" t="str">
        <f>VLOOKUP(A174,[1]备料总表!$B:$I,8,0)</f>
        <v>99-001020</v>
      </c>
      <c r="C174" s="3" t="str">
        <f>VLOOKUP(A174,[1]备料总表!$B:$I,2,0)</f>
        <v>S内存DDR4-64G-2933-2Rx4-RD HLS V1.0</v>
      </c>
      <c r="D174" s="1" t="str">
        <f>VLOOKUP(A174,[1]备料总表!$B:$I,4,0)</f>
        <v>内存</v>
      </c>
      <c r="E174" s="2" t="s">
        <v>16</v>
      </c>
      <c r="F174" s="4">
        <v>1</v>
      </c>
      <c r="G174" s="1" t="s">
        <v>260</v>
      </c>
      <c r="H174" s="3" t="e">
        <f>VLOOKUP(B174,[2]各库区库存!$A:$B,2,0)</f>
        <v>#N/A</v>
      </c>
    </row>
    <row r="175" spans="1:8" s="1" customFormat="1">
      <c r="A175" s="1" t="s">
        <v>261</v>
      </c>
      <c r="B175" s="2" t="str">
        <f>VLOOKUP(A175,[1]备料总表!$B:$I,8,0)</f>
        <v>99-001286</v>
      </c>
      <c r="C175" s="3" t="str">
        <f>VLOOKUP(A175,[1]备料总表!$B:$I,2,0)</f>
        <v>2*16X SLOT (PCIE X8) Riser3卡-A222</v>
      </c>
      <c r="D175" s="1" t="str">
        <f>VLOOKUP(A175,[1]备料总表!$B:$I,4,0)</f>
        <v>Riser模组</v>
      </c>
      <c r="E175" s="2" t="s">
        <v>32</v>
      </c>
      <c r="F175" s="4">
        <v>1</v>
      </c>
      <c r="G175" s="1" t="s">
        <v>207</v>
      </c>
      <c r="H175" s="3" t="e">
        <f>VLOOKUP(B175,[2]各库区库存!$A:$B,2,0)</f>
        <v>#N/A</v>
      </c>
    </row>
    <row r="176" spans="1:8" s="1" customFormat="1">
      <c r="A176" s="1" t="s">
        <v>261</v>
      </c>
      <c r="B176" s="2" t="str">
        <f>VLOOKUP(A176,[1]备料总表!$B:$I,8,0)</f>
        <v>99-001286</v>
      </c>
      <c r="C176" s="3" t="str">
        <f>VLOOKUP(A176,[1]备料总表!$B:$I,2,0)</f>
        <v>2*16X SLOT (PCIE X8) Riser3卡-A222</v>
      </c>
      <c r="D176" s="1" t="str">
        <f>VLOOKUP(A176,[1]备料总表!$B:$I,4,0)</f>
        <v>Riser模组</v>
      </c>
      <c r="E176" s="2" t="s">
        <v>262</v>
      </c>
      <c r="F176" s="4">
        <v>1</v>
      </c>
      <c r="G176" s="1" t="s">
        <v>263</v>
      </c>
      <c r="H176" s="3" t="e">
        <f>VLOOKUP(B176,[2]各库区库存!$A:$B,2,0)</f>
        <v>#N/A</v>
      </c>
    </row>
    <row r="177" spans="1:8" s="1" customFormat="1">
      <c r="A177" s="1" t="s">
        <v>261</v>
      </c>
      <c r="B177" s="2" t="str">
        <f>VLOOKUP(A177,[1]备料总表!$B:$I,8,0)</f>
        <v>99-001286</v>
      </c>
      <c r="C177" s="3" t="str">
        <f>VLOOKUP(A177,[1]备料总表!$B:$I,2,0)</f>
        <v>2*16X SLOT (PCIE X8) Riser3卡-A222</v>
      </c>
      <c r="D177" s="1" t="str">
        <f>VLOOKUP(A177,[1]备料总表!$B:$I,4,0)</f>
        <v>Riser模组</v>
      </c>
      <c r="E177" s="2" t="s">
        <v>201</v>
      </c>
      <c r="F177" s="4">
        <v>1</v>
      </c>
      <c r="G177" s="1" t="s">
        <v>264</v>
      </c>
      <c r="H177" s="3" t="e">
        <f>VLOOKUP(B177,[2]各库区库存!$A:$B,2,0)</f>
        <v>#N/A</v>
      </c>
    </row>
    <row r="178" spans="1:8" s="1" customFormat="1">
      <c r="A178" s="1" t="s">
        <v>261</v>
      </c>
      <c r="B178" s="2" t="str">
        <f>VLOOKUP(A178,[1]备料总表!$B:$I,8,0)</f>
        <v>99-001286</v>
      </c>
      <c r="C178" s="3" t="str">
        <f>VLOOKUP(A178,[1]备料总表!$B:$I,2,0)</f>
        <v>2*16X SLOT (PCIE X8) Riser3卡-A222</v>
      </c>
      <c r="D178" s="1" t="str">
        <f>VLOOKUP(A178,[1]备料总表!$B:$I,4,0)</f>
        <v>Riser模组</v>
      </c>
      <c r="E178" s="2" t="s">
        <v>33</v>
      </c>
      <c r="F178" s="4">
        <v>1</v>
      </c>
      <c r="G178" s="1" t="s">
        <v>265</v>
      </c>
      <c r="H178" s="3" t="e">
        <f>VLOOKUP(B178,[2]各库区库存!$A:$B,2,0)</f>
        <v>#N/A</v>
      </c>
    </row>
    <row r="179" spans="1:8" s="1" customFormat="1">
      <c r="A179" s="1" t="s">
        <v>266</v>
      </c>
      <c r="B179" s="2" t="str">
        <f>VLOOKUP(A179,[1]备料总表!$B:$I,8,0)</f>
        <v>99-001287</v>
      </c>
      <c r="C179" s="3" t="str">
        <f>VLOOKUP(A179,[1]备料总表!$B:$I,2,0)</f>
        <v>3*16X SLOT (PCIe x8) Riser1卡-A222</v>
      </c>
      <c r="D179" s="1" t="str">
        <f>VLOOKUP(A179,[1]备料总表!$B:$I,4,0)</f>
        <v>Riser模组</v>
      </c>
      <c r="E179" s="2" t="s">
        <v>32</v>
      </c>
      <c r="F179" s="4">
        <v>1</v>
      </c>
      <c r="G179" s="1" t="s">
        <v>207</v>
      </c>
      <c r="H179" s="3" t="e">
        <f>VLOOKUP(B179,[2]各库区库存!$A:$B,2,0)</f>
        <v>#N/A</v>
      </c>
    </row>
    <row r="180" spans="1:8" s="1" customFormat="1">
      <c r="A180" s="1" t="s">
        <v>266</v>
      </c>
      <c r="B180" s="2" t="str">
        <f>VLOOKUP(A180,[1]备料总表!$B:$I,8,0)</f>
        <v>99-001287</v>
      </c>
      <c r="C180" s="3" t="str">
        <f>VLOOKUP(A180,[1]备料总表!$B:$I,2,0)</f>
        <v>3*16X SLOT (PCIe x8) Riser1卡-A222</v>
      </c>
      <c r="D180" s="1" t="str">
        <f>VLOOKUP(A180,[1]备料总表!$B:$I,4,0)</f>
        <v>Riser模组</v>
      </c>
      <c r="E180" s="2" t="s">
        <v>201</v>
      </c>
      <c r="F180" s="4">
        <v>1</v>
      </c>
      <c r="G180" s="1" t="s">
        <v>264</v>
      </c>
      <c r="H180" s="3" t="e">
        <f>VLOOKUP(B180,[2]各库区库存!$A:$B,2,0)</f>
        <v>#N/A</v>
      </c>
    </row>
    <row r="181" spans="1:8" s="1" customFormat="1">
      <c r="A181" s="1" t="s">
        <v>266</v>
      </c>
      <c r="B181" s="2" t="str">
        <f>VLOOKUP(A181,[1]备料总表!$B:$I,8,0)</f>
        <v>99-001287</v>
      </c>
      <c r="C181" s="3" t="str">
        <f>VLOOKUP(A181,[1]备料总表!$B:$I,2,0)</f>
        <v>3*16X SLOT (PCIe x8) Riser1卡-A222</v>
      </c>
      <c r="D181" s="1" t="str">
        <f>VLOOKUP(A181,[1]备料总表!$B:$I,4,0)</f>
        <v>Riser模组</v>
      </c>
      <c r="E181" s="2" t="s">
        <v>33</v>
      </c>
      <c r="F181" s="4">
        <v>1</v>
      </c>
      <c r="G181" s="1" t="s">
        <v>267</v>
      </c>
      <c r="H181" s="3" t="e">
        <f>VLOOKUP(B181,[2]各库区库存!$A:$B,2,0)</f>
        <v>#N/A</v>
      </c>
    </row>
    <row r="182" spans="1:8" s="1" customFormat="1">
      <c r="A182" s="1" t="s">
        <v>268</v>
      </c>
      <c r="B182" s="2" t="str">
        <f>VLOOKUP(A182,[1]备料总表!$B:$I,8,0)</f>
        <v>99-001291</v>
      </c>
      <c r="C182" s="3" t="str">
        <f>VLOOKUP(A182,[1]备料总表!$B:$I,2,0)</f>
        <v>S主板 S920S03-3210 1*(920,24C)</v>
      </c>
      <c r="D182" s="1" t="str">
        <f>VLOOKUP(A182,[1]备料总表!$B:$I,4,0)</f>
        <v>主板</v>
      </c>
      <c r="E182" s="2" t="s">
        <v>55</v>
      </c>
      <c r="F182" s="4">
        <v>1</v>
      </c>
      <c r="G182" s="1" t="s">
        <v>269</v>
      </c>
      <c r="H182" s="3" t="e">
        <f>VLOOKUP(B182,[2]各库区库存!$A:$B,2,0)</f>
        <v>#N/A</v>
      </c>
    </row>
    <row r="183" spans="1:8" s="1" customFormat="1">
      <c r="A183" s="1" t="s">
        <v>270</v>
      </c>
      <c r="B183" s="2" t="str">
        <f>VLOOKUP(A183,[1]备料总表!$B:$I,8,0)</f>
        <v>99-001291</v>
      </c>
      <c r="C183" s="3" t="str">
        <f>VLOOKUP(A183,[1]备料总表!$B:$I,2,0)</f>
        <v>S主板 S920S03-3210 1*(920,24C@2.6GHz)</v>
      </c>
      <c r="D183" s="1" t="str">
        <f>VLOOKUP(A183,[1]备料总表!$B:$I,4,0)</f>
        <v>主板</v>
      </c>
      <c r="E183" s="2" t="s">
        <v>32</v>
      </c>
      <c r="F183" s="4">
        <v>1</v>
      </c>
      <c r="G183" s="1" t="s">
        <v>271</v>
      </c>
      <c r="H183" s="3" t="e">
        <f>VLOOKUP(B183,[2]各库区库存!$A:$B,2,0)</f>
        <v>#N/A</v>
      </c>
    </row>
    <row r="184" spans="1:8" s="1" customFormat="1">
      <c r="A184" s="1" t="s">
        <v>272</v>
      </c>
      <c r="B184" s="2" t="str">
        <f>VLOOKUP(A184,[1]备料总表!$B:$I,8,0)</f>
        <v>99-001291</v>
      </c>
      <c r="C184" s="3" t="str">
        <f>VLOOKUP(A184,[1]备料总表!$B:$I,2,0)</f>
        <v>S主板 S920S03-3210 1*(920,24C@2.6GHz)</v>
      </c>
      <c r="D184" s="1" t="str">
        <f>VLOOKUP(A184,[1]备料总表!$B:$I,4,0)</f>
        <v>主板</v>
      </c>
      <c r="E184" s="2" t="s">
        <v>262</v>
      </c>
      <c r="F184" s="4">
        <v>1</v>
      </c>
      <c r="G184" s="1" t="s">
        <v>273</v>
      </c>
      <c r="H184" s="3" t="e">
        <f>VLOOKUP(B184,[2]各库区库存!$A:$B,2,0)</f>
        <v>#N/A</v>
      </c>
    </row>
    <row r="185" spans="1:8" s="1" customFormat="1">
      <c r="A185" s="1" t="s">
        <v>272</v>
      </c>
      <c r="B185" s="2" t="str">
        <f>VLOOKUP(A185,[1]备料总表!$B:$I,8,0)</f>
        <v>99-001291</v>
      </c>
      <c r="C185" s="3" t="str">
        <f>VLOOKUP(A185,[1]备料总表!$B:$I,2,0)</f>
        <v>S主板 S920S03-3210 1*(920,24C@2.6GHz)</v>
      </c>
      <c r="D185" s="1" t="str">
        <f>VLOOKUP(A185,[1]备料总表!$B:$I,4,0)</f>
        <v>主板</v>
      </c>
      <c r="E185" s="2" t="s">
        <v>201</v>
      </c>
      <c r="F185" s="4">
        <v>1</v>
      </c>
      <c r="G185" s="1" t="s">
        <v>274</v>
      </c>
      <c r="H185" s="3" t="e">
        <f>VLOOKUP(B185,[2]各库区库存!$A:$B,2,0)</f>
        <v>#N/A</v>
      </c>
    </row>
    <row r="186" spans="1:8" s="1" customFormat="1">
      <c r="A186" s="1" t="s">
        <v>272</v>
      </c>
      <c r="B186" s="2" t="str">
        <f>VLOOKUP(A186,[1]备料总表!$B:$I,8,0)</f>
        <v>99-001291</v>
      </c>
      <c r="C186" s="3" t="str">
        <f>VLOOKUP(A186,[1]备料总表!$B:$I,2,0)</f>
        <v>S主板 S920S03-3210 1*(920,24C@2.6GHz)</v>
      </c>
      <c r="D186" s="1" t="str">
        <f>VLOOKUP(A186,[1]备料总表!$B:$I,4,0)</f>
        <v>主板</v>
      </c>
      <c r="E186" s="2" t="s">
        <v>33</v>
      </c>
      <c r="F186" s="4">
        <v>1</v>
      </c>
      <c r="G186" s="1" t="s">
        <v>275</v>
      </c>
      <c r="H186" s="3" t="e">
        <f>VLOOKUP(B186,[2]各库区库存!$A:$B,2,0)</f>
        <v>#N/A</v>
      </c>
    </row>
    <row r="187" spans="1:8" s="1" customFormat="1">
      <c r="A187" s="1" t="s">
        <v>272</v>
      </c>
      <c r="B187" s="2" t="str">
        <f>VLOOKUP(A187,[1]备料总表!$B:$I,8,0)</f>
        <v>99-001291</v>
      </c>
      <c r="C187" s="3" t="str">
        <f>VLOOKUP(A187,[1]备料总表!$B:$I,2,0)</f>
        <v>S主板 S920S03-3210 1*(920,24C@2.6GHz)</v>
      </c>
      <c r="D187" s="1" t="str">
        <f>VLOOKUP(A187,[1]备料总表!$B:$I,4,0)</f>
        <v>主板</v>
      </c>
      <c r="E187" s="2" t="s">
        <v>39</v>
      </c>
      <c r="F187" s="4">
        <v>1</v>
      </c>
      <c r="G187" s="1" t="s">
        <v>276</v>
      </c>
      <c r="H187" s="3" t="e">
        <f>VLOOKUP(B187,[2]各库区库存!$A:$B,2,0)</f>
        <v>#N/A</v>
      </c>
    </row>
    <row r="188" spans="1:8" s="1" customFormat="1">
      <c r="A188" s="1" t="s">
        <v>272</v>
      </c>
      <c r="B188" s="2" t="str">
        <f>VLOOKUP(A188,[1]备料总表!$B:$I,8,0)</f>
        <v>99-001291</v>
      </c>
      <c r="C188" s="3" t="str">
        <f>VLOOKUP(A188,[1]备料总表!$B:$I,2,0)</f>
        <v>S主板 S920S03-3210 1*(920,24C@2.6GHz)</v>
      </c>
      <c r="D188" s="1" t="str">
        <f>VLOOKUP(A188,[1]备料总表!$B:$I,4,0)</f>
        <v>主板</v>
      </c>
      <c r="E188" s="2" t="s">
        <v>12</v>
      </c>
      <c r="F188" s="4">
        <v>1</v>
      </c>
      <c r="G188" s="1" t="s">
        <v>277</v>
      </c>
      <c r="H188" s="3" t="e">
        <f>VLOOKUP(B188,[2]各库区库存!$A:$B,2,0)</f>
        <v>#N/A</v>
      </c>
    </row>
    <row r="189" spans="1:8" s="1" customFormat="1">
      <c r="A189" s="1" t="s">
        <v>272</v>
      </c>
      <c r="B189" s="2" t="str">
        <f>VLOOKUP(A189,[1]备料总表!$B:$I,8,0)</f>
        <v>99-001291</v>
      </c>
      <c r="C189" s="3" t="str">
        <f>VLOOKUP(A189,[1]备料总表!$B:$I,2,0)</f>
        <v>S主板 S920S03-3210 1*(920,24C@2.6GHz)</v>
      </c>
      <c r="D189" s="1" t="str">
        <f>VLOOKUP(A189,[1]备料总表!$B:$I,4,0)</f>
        <v>主板</v>
      </c>
      <c r="E189" s="2" t="s">
        <v>22</v>
      </c>
      <c r="F189" s="4">
        <v>1</v>
      </c>
      <c r="G189" s="1" t="s">
        <v>278</v>
      </c>
      <c r="H189" s="3" t="e">
        <f>VLOOKUP(B189,[2]各库区库存!$A:$B,2,0)</f>
        <v>#N/A</v>
      </c>
    </row>
    <row r="190" spans="1:8" s="1" customFormat="1">
      <c r="A190" s="2" t="s">
        <v>270</v>
      </c>
      <c r="B190" s="2" t="str">
        <f>VLOOKUP(A190,[1]备料总表!$B:$I,8,0)</f>
        <v>99-001291</v>
      </c>
      <c r="C190" s="3" t="str">
        <f>VLOOKUP(A190,[1]备料总表!$B:$I,2,0)</f>
        <v>S主板 S920S03-3210 1*(920,24C@2.6GHz)</v>
      </c>
      <c r="D190" s="1" t="str">
        <f>VLOOKUP(A190,[1]备料总表!$B:$I,4,0)</f>
        <v>主板</v>
      </c>
      <c r="E190" s="1" t="s">
        <v>279</v>
      </c>
      <c r="F190" s="4">
        <v>1</v>
      </c>
      <c r="G190" s="2" t="s">
        <v>280</v>
      </c>
      <c r="H190" s="3" t="e">
        <f>VLOOKUP(B190,[2]各库区库存!$A:$B,2,0)</f>
        <v>#N/A</v>
      </c>
    </row>
    <row r="191" spans="1:8" s="1" customFormat="1">
      <c r="A191" s="1" t="s">
        <v>281</v>
      </c>
      <c r="B191" s="2" t="str">
        <f>VLOOKUP(A191,[1]备料总表!$B:$I,8,0)</f>
        <v>99-001369</v>
      </c>
      <c r="C191" s="3" t="str">
        <f>VLOOKUP(A191,[1]备料总表!$B:$I,2,0)</f>
        <v>S主板S920X00-7265-AH 2*(920,64C) 1711</v>
      </c>
      <c r="D191" s="1" t="str">
        <f>VLOOKUP(A191,[1]备料总表!$B:$I,4,0)</f>
        <v>主板</v>
      </c>
      <c r="E191" s="2" t="s">
        <v>31</v>
      </c>
      <c r="F191" s="4">
        <v>1</v>
      </c>
      <c r="G191" s="1" t="s">
        <v>282</v>
      </c>
      <c r="H191" s="3" t="e">
        <f>VLOOKUP(B191,[2]各库区库存!$A:$B,2,0)</f>
        <v>#N/A</v>
      </c>
    </row>
    <row r="192" spans="1:8" s="1" customFormat="1">
      <c r="A192" s="1" t="s">
        <v>281</v>
      </c>
      <c r="B192" s="2" t="str">
        <f>VLOOKUP(A192,[1]备料总表!$B:$I,8,0)</f>
        <v>99-001369</v>
      </c>
      <c r="C192" s="3" t="str">
        <f>VLOOKUP(A192,[1]备料总表!$B:$I,2,0)</f>
        <v>S主板S920X00-7265-AH 2*(920,64C) 1711</v>
      </c>
      <c r="D192" s="1" t="str">
        <f>VLOOKUP(A192,[1]备料总表!$B:$I,4,0)</f>
        <v>主板</v>
      </c>
      <c r="E192" s="2" t="s">
        <v>38</v>
      </c>
      <c r="F192" s="4">
        <v>1</v>
      </c>
      <c r="G192" s="1" t="s">
        <v>283</v>
      </c>
      <c r="H192" s="3" t="e">
        <f>VLOOKUP(B192,[2]各库区库存!$A:$B,2,0)</f>
        <v>#N/A</v>
      </c>
    </row>
    <row r="193" spans="1:9" s="1" customFormat="1">
      <c r="A193" s="1" t="s">
        <v>284</v>
      </c>
      <c r="B193" s="2" t="str">
        <f>VLOOKUP(A193,[1]备料总表!$B:$I,8,0)</f>
        <v>99-001369</v>
      </c>
      <c r="C193" s="3" t="str">
        <f>VLOOKUP(A193,[1]备料总表!$B:$I,2,0)</f>
        <v>S主板S920X00-7265-AH 2*(920,64C) 1711</v>
      </c>
      <c r="D193" s="1" t="str">
        <f>VLOOKUP(A193,[1]备料总表!$B:$I,4,0)</f>
        <v>主板</v>
      </c>
      <c r="E193" s="2" t="s">
        <v>262</v>
      </c>
      <c r="F193" s="4">
        <v>1</v>
      </c>
      <c r="G193" s="1" t="s">
        <v>252</v>
      </c>
      <c r="H193" s="3" t="e">
        <f>VLOOKUP(B193,[2]各库区库存!$A:$B,2,0)</f>
        <v>#N/A</v>
      </c>
    </row>
    <row r="194" spans="1:9" s="1" customFormat="1">
      <c r="A194" s="1" t="s">
        <v>285</v>
      </c>
      <c r="B194" s="2" t="str">
        <f>VLOOKUP(A194,[1]备料总表!$B:$I,8,0)</f>
        <v>99-001626</v>
      </c>
      <c r="C194" s="3" t="str">
        <f>VLOOKUP(A194,[1]备料总表!$B:$I,2,0)</f>
        <v>AI卡Atlas 300I Pro-24G LPDDR4x-72W-SWHHHL</v>
      </c>
      <c r="D194" s="1" t="str">
        <f>VLOOKUP(A194,[1]备料总表!$B:$I,4,0)</f>
        <v>AI推理卡</v>
      </c>
      <c r="E194" s="2" t="s">
        <v>86</v>
      </c>
      <c r="F194" s="4">
        <v>1</v>
      </c>
      <c r="G194" s="1" t="s">
        <v>286</v>
      </c>
      <c r="H194" s="3" t="e">
        <f>VLOOKUP(B194,[2]各库区库存!$A:$B,2,0)</f>
        <v>#N/A</v>
      </c>
    </row>
    <row r="195" spans="1:9" s="1" customFormat="1">
      <c r="A195" s="1" t="s">
        <v>285</v>
      </c>
      <c r="B195" s="2" t="str">
        <f>VLOOKUP(A195,[1]备料总表!$B:$I,8,0)</f>
        <v>99-001626</v>
      </c>
      <c r="C195" s="3" t="str">
        <f>VLOOKUP(A195,[1]备料总表!$B:$I,2,0)</f>
        <v>AI卡Atlas 300I Pro-24G LPDDR4x-72W-SWHHHL</v>
      </c>
      <c r="D195" s="1" t="str">
        <f>VLOOKUP(A195,[1]备料总表!$B:$I,4,0)</f>
        <v>AI推理卡</v>
      </c>
      <c r="E195" s="2" t="s">
        <v>152</v>
      </c>
      <c r="F195" s="4">
        <v>1</v>
      </c>
      <c r="G195" s="1" t="s">
        <v>287</v>
      </c>
      <c r="H195" s="3" t="e">
        <f>VLOOKUP(B195,[2]各库区库存!$A:$B,2,0)</f>
        <v>#N/A</v>
      </c>
    </row>
    <row r="196" spans="1:9" s="1" customFormat="1">
      <c r="A196" s="1" t="s">
        <v>285</v>
      </c>
      <c r="B196" s="2" t="str">
        <f>VLOOKUP(A196,[1]备料总表!$B:$I,8,0)</f>
        <v>99-001626</v>
      </c>
      <c r="C196" s="3" t="str">
        <f>VLOOKUP(A196,[1]备料总表!$B:$I,2,0)</f>
        <v>AI卡Atlas 300I Pro-24G LPDDR4x-72W-SWHHHL</v>
      </c>
      <c r="D196" s="1" t="str">
        <f>VLOOKUP(A196,[1]备料总表!$B:$I,4,0)</f>
        <v>AI推理卡</v>
      </c>
      <c r="E196" s="2" t="s">
        <v>146</v>
      </c>
      <c r="F196" s="4">
        <v>1</v>
      </c>
      <c r="G196" s="1" t="s">
        <v>288</v>
      </c>
      <c r="H196" s="3" t="e">
        <f>VLOOKUP(B196,[2]各库区库存!$A:$B,2,0)</f>
        <v>#N/A</v>
      </c>
    </row>
    <row r="197" spans="1:9" s="1" customFormat="1">
      <c r="A197" s="1" t="s">
        <v>285</v>
      </c>
      <c r="B197" s="2" t="str">
        <f>VLOOKUP(A197,[1]备料总表!$B:$I,8,0)</f>
        <v>99-001626</v>
      </c>
      <c r="C197" s="3" t="str">
        <f>VLOOKUP(A197,[1]备料总表!$B:$I,2,0)</f>
        <v>AI卡Atlas 300I Pro-24G LPDDR4x-72W-SWHHHL</v>
      </c>
      <c r="D197" s="1" t="str">
        <f>VLOOKUP(A197,[1]备料总表!$B:$I,4,0)</f>
        <v>AI推理卡</v>
      </c>
      <c r="E197" s="2" t="s">
        <v>65</v>
      </c>
      <c r="F197" s="4">
        <v>1</v>
      </c>
      <c r="G197" s="1" t="s">
        <v>289</v>
      </c>
      <c r="H197" s="3" t="e">
        <f>VLOOKUP(B197,[2]各库区库存!$A:$B,2,0)</f>
        <v>#N/A</v>
      </c>
    </row>
    <row r="198" spans="1:9" s="1" customFormat="1">
      <c r="A198" s="1" t="s">
        <v>290</v>
      </c>
      <c r="B198" s="2" t="str">
        <f>VLOOKUP(A198,[1]备料总表!$B:$I,8,0)</f>
        <v>99-001770</v>
      </c>
      <c r="C198" s="3" t="str">
        <f>VLOOKUP(A198,[1]备料总表!$B:$I,2,0)</f>
        <v>Riser1&amp;2 1*16X+1*8X(PCIE4.0)双宽GPU</v>
      </c>
      <c r="D198" s="1" t="str">
        <f>VLOOKUP(A198,[1]备料总表!$B:$I,4,0)</f>
        <v>Riser模组</v>
      </c>
      <c r="E198" s="2" t="s">
        <v>39</v>
      </c>
      <c r="F198" s="4">
        <v>1</v>
      </c>
      <c r="G198" s="1" t="s">
        <v>291</v>
      </c>
      <c r="H198" s="3" t="e">
        <f>VLOOKUP(B198,[2]各库区库存!$A:$B,2,0)</f>
        <v>#N/A</v>
      </c>
    </row>
    <row r="199" spans="1:9" s="1" customFormat="1">
      <c r="A199" s="1" t="s">
        <v>290</v>
      </c>
      <c r="B199" s="2" t="str">
        <f>VLOOKUP(A199,[1]备料总表!$B:$I,8,0)</f>
        <v>99-001770</v>
      </c>
      <c r="C199" s="3" t="str">
        <f>VLOOKUP(A199,[1]备料总表!$B:$I,2,0)</f>
        <v>Riser1&amp;2 1*16X+1*8X(PCIE4.0)双宽GPU</v>
      </c>
      <c r="D199" s="1" t="str">
        <f>VLOOKUP(A199,[1]备料总表!$B:$I,4,0)</f>
        <v>Riser模组</v>
      </c>
      <c r="E199" s="2" t="s">
        <v>198</v>
      </c>
      <c r="F199" s="4">
        <v>1</v>
      </c>
      <c r="G199" s="1" t="s">
        <v>292</v>
      </c>
      <c r="H199" s="3" t="e">
        <f>VLOOKUP(B199,[2]各库区库存!$A:$B,2,0)</f>
        <v>#N/A</v>
      </c>
    </row>
    <row r="200" spans="1:9" s="1" customFormat="1">
      <c r="A200" s="1" t="s">
        <v>290</v>
      </c>
      <c r="B200" s="2" t="str">
        <f>VLOOKUP(A200,[1]备料总表!$B:$I,8,0)</f>
        <v>99-001770</v>
      </c>
      <c r="C200" s="3" t="str">
        <f>VLOOKUP(A200,[1]备料总表!$B:$I,2,0)</f>
        <v>Riser1&amp;2 1*16X+1*8X(PCIE4.0)双宽GPU</v>
      </c>
      <c r="D200" s="1" t="str">
        <f>VLOOKUP(A200,[1]备料总表!$B:$I,4,0)</f>
        <v>Riser模组</v>
      </c>
      <c r="E200" s="2" t="s">
        <v>293</v>
      </c>
      <c r="F200" s="4">
        <v>1</v>
      </c>
      <c r="G200" s="1" t="s">
        <v>292</v>
      </c>
      <c r="H200" s="3" t="e">
        <f>VLOOKUP(B200,[2]各库区库存!$A:$B,2,0)</f>
        <v>#N/A</v>
      </c>
    </row>
    <row r="201" spans="1:9" s="1" customFormat="1">
      <c r="A201" s="1" t="s">
        <v>294</v>
      </c>
      <c r="B201" s="2" t="str">
        <f>VLOOKUP(A201,[1]备料总表!$B:$I,8,0)</f>
        <v>99-001770</v>
      </c>
      <c r="C201" s="3" t="str">
        <f>VLOOKUP(A201,[1]备料总表!$B:$I,2,0)</f>
        <v>PCIE提升卡-BC82PRUB</v>
      </c>
      <c r="D201" s="1" t="str">
        <f>VLOOKUP(A201,[1]备料总表!$B:$I,4,0)</f>
        <v>Riser模组</v>
      </c>
      <c r="E201" s="2" t="s">
        <v>16</v>
      </c>
      <c r="F201" s="4">
        <v>1</v>
      </c>
      <c r="G201" s="1" t="s">
        <v>295</v>
      </c>
      <c r="H201" s="3" t="e">
        <f>VLOOKUP(B201,[2]各库区库存!$A:$B,2,0)</f>
        <v>#N/A</v>
      </c>
    </row>
    <row r="202" spans="1:9" s="1" customFormat="1">
      <c r="A202" s="1" t="s">
        <v>294</v>
      </c>
      <c r="B202" s="2" t="str">
        <f>VLOOKUP(A202,[1]备料总表!$B:$I,8,0)</f>
        <v>99-001770</v>
      </c>
      <c r="C202" s="3" t="str">
        <f>VLOOKUP(A202,[1]备料总表!$B:$I,2,0)</f>
        <v>PCIE提升卡-BC82PRUB</v>
      </c>
      <c r="D202" s="1" t="str">
        <f>VLOOKUP(A202,[1]备料总表!$B:$I,4,0)</f>
        <v>Riser模组</v>
      </c>
      <c r="E202" s="2" t="s">
        <v>55</v>
      </c>
      <c r="F202" s="4">
        <v>1</v>
      </c>
      <c r="G202" s="1" t="s">
        <v>51</v>
      </c>
      <c r="H202" s="3" t="e">
        <f>VLOOKUP(B202,[2]各库区库存!$A:$B,2,0)</f>
        <v>#N/A</v>
      </c>
    </row>
    <row r="203" spans="1:9" s="1" customFormat="1">
      <c r="A203" s="1" t="s">
        <v>296</v>
      </c>
      <c r="B203" s="2" t="str">
        <f>VLOOKUP(A203,[1]备料总表!$B:$I,8,0)</f>
        <v>99-001778</v>
      </c>
      <c r="C203" s="3" t="str">
        <f>VLOOKUP(A203,[1]备料总表!$B:$I,2,0)</f>
        <v>服务器电源模块 2000W PDC2000S12-B1直流(含线）</v>
      </c>
      <c r="D203" s="1" t="str">
        <f>VLOOKUP(A203,[1]备料总表!$B:$I,4,0)</f>
        <v>电源</v>
      </c>
      <c r="E203" s="2" t="s">
        <v>152</v>
      </c>
      <c r="F203" s="4">
        <v>1</v>
      </c>
      <c r="G203" s="1" t="s">
        <v>297</v>
      </c>
      <c r="H203" s="3" t="e">
        <f>VLOOKUP(B203,[2]各库区库存!$A:$B,2,0)</f>
        <v>#N/A</v>
      </c>
    </row>
    <row r="204" spans="1:9" s="1" customFormat="1">
      <c r="A204" s="2" t="s">
        <v>298</v>
      </c>
      <c r="B204" s="2" t="str">
        <f>VLOOKUP(A204,[1]备料总表!$B:$I,8,0)</f>
        <v>99-001802</v>
      </c>
      <c r="C204" s="3" t="str">
        <f>VLOOKUP(A204,[1]备料总表!$B:$I,2,0)</f>
        <v>网卡RP2000-SW-2*10Gb-SFP+-PCIe2.0x8</v>
      </c>
      <c r="D204" s="1" t="str">
        <f>VLOOKUP(A204,[1]备料总表!$B:$I,4,0)</f>
        <v>网卡</v>
      </c>
      <c r="E204" s="2" t="s">
        <v>65</v>
      </c>
      <c r="F204" s="4">
        <v>1</v>
      </c>
      <c r="G204" s="2" t="s">
        <v>299</v>
      </c>
      <c r="H204" s="3" t="e">
        <f>VLOOKUP(B204,[2]各库区库存!$A:$B,2,0)</f>
        <v>#N/A</v>
      </c>
      <c r="I204" s="2"/>
    </row>
    <row r="205" spans="1:9" s="1" customFormat="1">
      <c r="A205" s="1" t="s">
        <v>300</v>
      </c>
      <c r="B205" s="2" t="str">
        <f>VLOOKUP(A205,[1]备料总表!$B:$I,8,0)</f>
        <v>99-001842</v>
      </c>
      <c r="C205" s="3" t="str">
        <f>VLOOKUP(A205,[1]备料总表!$B:$I,2,0)</f>
        <v>Atlas300V视频x16-24G-72W-SWHHHL半高+全高挡片</v>
      </c>
      <c r="D205" s="1" t="str">
        <f>VLOOKUP(A205,[1]备料总表!$B:$I,4,0)</f>
        <v>AI推理卡</v>
      </c>
      <c r="E205" s="2" t="s">
        <v>28</v>
      </c>
      <c r="F205" s="4">
        <v>1</v>
      </c>
      <c r="G205" s="1" t="s">
        <v>301</v>
      </c>
      <c r="H205" s="3" t="e">
        <f>VLOOKUP(B205,[2]各库区库存!$A:$B,2,0)</f>
        <v>#N/A</v>
      </c>
    </row>
    <row r="206" spans="1:9" s="1" customFormat="1">
      <c r="A206" s="1" t="s">
        <v>300</v>
      </c>
      <c r="B206" s="2" t="str">
        <f>VLOOKUP(A206,[1]备料总表!$B:$I,8,0)</f>
        <v>99-001842</v>
      </c>
      <c r="C206" s="3" t="str">
        <f>VLOOKUP(A206,[1]备料总表!$B:$I,2,0)</f>
        <v>Atlas300V视频x16-24G-72W-SWHHHL半高+全高挡片</v>
      </c>
      <c r="D206" s="1" t="str">
        <f>VLOOKUP(A206,[1]备料总表!$B:$I,4,0)</f>
        <v>AI推理卡</v>
      </c>
      <c r="E206" s="2" t="s">
        <v>30</v>
      </c>
      <c r="F206" s="4">
        <v>1</v>
      </c>
      <c r="G206" s="1" t="s">
        <v>302</v>
      </c>
      <c r="H206" s="3" t="e">
        <f>VLOOKUP(B206,[2]各库区库存!$A:$B,2,0)</f>
        <v>#N/A</v>
      </c>
    </row>
    <row r="207" spans="1:9" s="1" customFormat="1">
      <c r="A207" s="1" t="s">
        <v>303</v>
      </c>
      <c r="B207" s="2" t="str">
        <f>VLOOKUP(A207,[1]备料总表!$B:$I,8,0)</f>
        <v>99-001875</v>
      </c>
      <c r="C207" s="3" t="str">
        <f>VLOOKUP(A207,[1]备料总表!$B:$I,2,0)</f>
        <v>RAID标卡9560-16i-8G PCIe4.0x8 NMP-BT</v>
      </c>
      <c r="D207" s="1" t="str">
        <f>VLOOKUP(A207,[1]备料总表!$B:$I,4,0)</f>
        <v>RAID卡</v>
      </c>
      <c r="E207" s="2" t="s">
        <v>86</v>
      </c>
      <c r="F207" s="4">
        <v>1</v>
      </c>
      <c r="G207" s="1" t="s">
        <v>304</v>
      </c>
      <c r="H207" s="3" t="e">
        <f>VLOOKUP(B207,[2]各库区库存!$A:$B,2,0)</f>
        <v>#N/A</v>
      </c>
    </row>
    <row r="208" spans="1:9" s="1" customFormat="1">
      <c r="A208" s="1" t="s">
        <v>305</v>
      </c>
      <c r="B208" s="2" t="str">
        <f>VLOOKUP(A208,[1]备料总表!$B:$I,8,0)</f>
        <v>99-001875</v>
      </c>
      <c r="C208" s="3" t="str">
        <f>VLOOKUP(A208,[1]备料总表!$B:$I,2,0)</f>
        <v>RAID标卡9560-16i-8G-PCIe4.0x8-HHHL BT</v>
      </c>
      <c r="D208" s="1" t="str">
        <f>VLOOKUP(A208,[1]备料总表!$B:$I,4,0)</f>
        <v>RAID卡</v>
      </c>
      <c r="E208" s="2" t="s">
        <v>83</v>
      </c>
      <c r="F208" s="4">
        <v>1</v>
      </c>
      <c r="G208" s="1" t="s">
        <v>306</v>
      </c>
      <c r="H208" s="3" t="e">
        <f>VLOOKUP(B208,[2]各库区库存!$A:$B,2,0)</f>
        <v>#N/A</v>
      </c>
    </row>
    <row r="209" spans="1:8" s="1" customFormat="1">
      <c r="A209" s="1" t="s">
        <v>307</v>
      </c>
      <c r="B209" s="2" t="str">
        <f>VLOOKUP(A209,[1]备料总表!$B:$I,8,0)</f>
        <v>99-001875</v>
      </c>
      <c r="C209" s="3" t="str">
        <f>VLOOKUP(A209,[1]备料总表!$B:$I,2,0)</f>
        <v>RAID标卡9560-16i-8G-PCIe4.0x8-HHHL</v>
      </c>
      <c r="D209" s="1" t="str">
        <f>VLOOKUP(A209,[1]备料总表!$B:$I,4,0)</f>
        <v>RAID卡</v>
      </c>
      <c r="E209" s="2" t="s">
        <v>65</v>
      </c>
      <c r="F209" s="4">
        <v>1</v>
      </c>
      <c r="G209" s="1" t="s">
        <v>308</v>
      </c>
      <c r="H209" s="3" t="e">
        <f>VLOOKUP(B209,[2]各库区库存!$A:$B,2,0)</f>
        <v>#N/A</v>
      </c>
    </row>
    <row r="210" spans="1:8" s="1" customFormat="1">
      <c r="A210" s="1" t="s">
        <v>305</v>
      </c>
      <c r="B210" s="2" t="str">
        <f>VLOOKUP(A210,[1]备料总表!$B:$I,8,0)</f>
        <v>99-001875</v>
      </c>
      <c r="C210" s="3" t="str">
        <f>VLOOKUP(A210,[1]备料总表!$B:$I,2,0)</f>
        <v>RAID标卡9560-16i-8G-PCIe4.0x8-HHHL BT</v>
      </c>
      <c r="D210" s="1" t="str">
        <f>VLOOKUP(A210,[1]备料总表!$B:$I,4,0)</f>
        <v>RAID卡</v>
      </c>
      <c r="E210" s="2" t="s">
        <v>9</v>
      </c>
      <c r="F210" s="4">
        <v>1</v>
      </c>
      <c r="G210" s="1" t="s">
        <v>309</v>
      </c>
      <c r="H210" s="3" t="e">
        <f>VLOOKUP(B210,[2]各库区库存!$A:$B,2,0)</f>
        <v>#N/A</v>
      </c>
    </row>
    <row r="211" spans="1:8" s="1" customFormat="1">
      <c r="A211" s="1" t="s">
        <v>310</v>
      </c>
      <c r="B211" s="2" t="str">
        <f>VLOOKUP(A211,[1]备料总表!$B:$I,8,0)</f>
        <v>99-001877</v>
      </c>
      <c r="C211" s="3" t="str">
        <f>VLOOKUP(A211,[1]备料总表!$B:$I,2,0)</f>
        <v>S主板 S920X00-2*7265F(64C@3.0)-AH-VD</v>
      </c>
      <c r="D211" s="1" t="str">
        <f>VLOOKUP(A211,[1]备料总表!$B:$I,4,0)</f>
        <v>主板</v>
      </c>
      <c r="E211" s="2" t="s">
        <v>311</v>
      </c>
      <c r="F211" s="4">
        <v>1</v>
      </c>
      <c r="G211" s="1" t="s">
        <v>312</v>
      </c>
      <c r="H211" s="3" t="e">
        <f>VLOOKUP(B211,[2]各库区库存!$A:$B,2,0)</f>
        <v>#N/A</v>
      </c>
    </row>
    <row r="212" spans="1:8" s="1" customFormat="1">
      <c r="A212" s="1" t="s">
        <v>310</v>
      </c>
      <c r="B212" s="2" t="str">
        <f>VLOOKUP(A212,[1]备料总表!$B:$I,8,0)</f>
        <v>99-001877</v>
      </c>
      <c r="C212" s="3" t="str">
        <f>VLOOKUP(A212,[1]备料总表!$B:$I,2,0)</f>
        <v>S主板 S920X00-2*7265F(64C@3.0)-AH-VD</v>
      </c>
      <c r="D212" s="1" t="str">
        <f>VLOOKUP(A212,[1]备料总表!$B:$I,4,0)</f>
        <v>主板</v>
      </c>
      <c r="E212" s="2" t="s">
        <v>313</v>
      </c>
      <c r="F212" s="4">
        <v>1</v>
      </c>
      <c r="G212" s="1" t="s">
        <v>314</v>
      </c>
      <c r="H212" s="3" t="e">
        <f>VLOOKUP(B212,[2]各库区库存!$A:$B,2,0)</f>
        <v>#N/A</v>
      </c>
    </row>
    <row r="213" spans="1:8" s="1" customFormat="1">
      <c r="A213" s="1" t="s">
        <v>315</v>
      </c>
      <c r="B213" s="2" t="str">
        <f>VLOOKUP(A213,[1]备料总表!$B:$I,8,0)</f>
        <v>99-001882</v>
      </c>
      <c r="C213" s="3" t="str">
        <f>VLOOKUP(A213,[1]备料总表!$B:$I,2,0)</f>
        <v>S主板S920S10-2*5220(32C@2.6G) AD</v>
      </c>
      <c r="D213" s="1" t="str">
        <f>VLOOKUP(A213,[1]备料总表!$B:$I,4,0)</f>
        <v>主板</v>
      </c>
      <c r="E213" s="2" t="s">
        <v>86</v>
      </c>
      <c r="F213" s="4">
        <v>1</v>
      </c>
      <c r="G213" s="1" t="s">
        <v>316</v>
      </c>
      <c r="H213" s="3" t="e">
        <f>VLOOKUP(B213,[2]各库区库存!$A:$B,2,0)</f>
        <v>#N/A</v>
      </c>
    </row>
    <row r="214" spans="1:8" s="1" customFormat="1">
      <c r="A214" s="1" t="s">
        <v>315</v>
      </c>
      <c r="B214" s="2" t="str">
        <f>VLOOKUP(A214,[1]备料总表!$B:$I,8,0)</f>
        <v>99-001882</v>
      </c>
      <c r="C214" s="3" t="str">
        <f>VLOOKUP(A214,[1]备料总表!$B:$I,2,0)</f>
        <v>S主板S920S10-2*5220(32C@2.6G) AD</v>
      </c>
      <c r="D214" s="1" t="str">
        <f>VLOOKUP(A214,[1]备料总表!$B:$I,4,0)</f>
        <v>主板</v>
      </c>
      <c r="E214" s="2" t="s">
        <v>12</v>
      </c>
      <c r="F214" s="4">
        <v>1</v>
      </c>
      <c r="G214" s="1" t="s">
        <v>317</v>
      </c>
      <c r="H214" s="3" t="e">
        <f>VLOOKUP(B214,[2]各库区库存!$A:$B,2,0)</f>
        <v>#N/A</v>
      </c>
    </row>
    <row r="215" spans="1:8" s="1" customFormat="1">
      <c r="A215" s="1" t="s">
        <v>315</v>
      </c>
      <c r="B215" s="2" t="str">
        <f>VLOOKUP(A215,[1]备料总表!$B:$I,8,0)</f>
        <v>99-001882</v>
      </c>
      <c r="C215" s="3" t="str">
        <f>VLOOKUP(A215,[1]备料总表!$B:$I,2,0)</f>
        <v>S主板S920S10-2*5220(32C@2.6G) AD</v>
      </c>
      <c r="D215" s="1" t="str">
        <f>VLOOKUP(A215,[1]备料总表!$B:$I,4,0)</f>
        <v>主板</v>
      </c>
      <c r="E215" s="2" t="s">
        <v>9</v>
      </c>
      <c r="F215" s="4">
        <v>1</v>
      </c>
      <c r="G215" s="1" t="s">
        <v>318</v>
      </c>
      <c r="H215" s="3" t="e">
        <f>VLOOKUP(B215,[2]各库区库存!$A:$B,2,0)</f>
        <v>#N/A</v>
      </c>
    </row>
    <row r="216" spans="1:8" s="1" customFormat="1">
      <c r="A216" s="1" t="s">
        <v>319</v>
      </c>
      <c r="B216" s="2" t="str">
        <f>VLOOKUP(A216,[1]备料总表!$B:$I,8,0)</f>
        <v>99-001893</v>
      </c>
      <c r="C216" s="3" t="str">
        <f>VLOOKUP(A216,[1]备料总表!$B:$I,2,0)</f>
        <v>S主板S920X10-2*7260（64C@2.6G）-AL</v>
      </c>
      <c r="D216" s="1" t="str">
        <f>VLOOKUP(A216,[1]备料总表!$B:$I,4,0)</f>
        <v>主板</v>
      </c>
      <c r="E216" s="2" t="s">
        <v>198</v>
      </c>
      <c r="F216" s="4">
        <v>1</v>
      </c>
      <c r="G216" s="1" t="s">
        <v>320</v>
      </c>
      <c r="H216" s="3" t="e">
        <f>VLOOKUP(B216,[2]各库区库存!$A:$B,2,0)</f>
        <v>#N/A</v>
      </c>
    </row>
    <row r="217" spans="1:8" s="1" customFormat="1">
      <c r="A217" s="1" t="s">
        <v>319</v>
      </c>
      <c r="B217" s="2" t="str">
        <f>VLOOKUP(A217,[1]备料总表!$B:$I,8,0)</f>
        <v>99-001893</v>
      </c>
      <c r="C217" s="3" t="str">
        <f>VLOOKUP(A217,[1]备料总表!$B:$I,2,0)</f>
        <v>S主板S920X10-2*7260（64C@2.6G）-AL</v>
      </c>
      <c r="D217" s="1" t="str">
        <f>VLOOKUP(A217,[1]备料总表!$B:$I,4,0)</f>
        <v>主板</v>
      </c>
      <c r="E217" s="2" t="s">
        <v>33</v>
      </c>
      <c r="F217" s="4">
        <v>1</v>
      </c>
      <c r="G217" s="1" t="s">
        <v>321</v>
      </c>
      <c r="H217" s="3" t="e">
        <f>VLOOKUP(B217,[2]各库区库存!$A:$B,2,0)</f>
        <v>#N/A</v>
      </c>
    </row>
    <row r="218" spans="1:8" s="1" customFormat="1">
      <c r="A218" s="1" t="s">
        <v>319</v>
      </c>
      <c r="B218" s="2" t="str">
        <f>VLOOKUP(A218,[1]备料总表!$B:$I,8,0)</f>
        <v>99-001893</v>
      </c>
      <c r="C218" s="3" t="str">
        <f>VLOOKUP(A218,[1]备料总表!$B:$I,2,0)</f>
        <v>S主板S920X10-2*7260（64C@2.6G）-AL</v>
      </c>
      <c r="D218" s="1" t="str">
        <f>VLOOKUP(A218,[1]备料总表!$B:$I,4,0)</f>
        <v>主板</v>
      </c>
      <c r="E218" s="2" t="s">
        <v>293</v>
      </c>
      <c r="F218" s="4">
        <v>1</v>
      </c>
      <c r="G218" s="1" t="s">
        <v>322</v>
      </c>
      <c r="H218" s="3" t="e">
        <f>VLOOKUP(B218,[2]各库区库存!$A:$B,2,0)</f>
        <v>#N/A</v>
      </c>
    </row>
    <row r="219" spans="1:8" s="1" customFormat="1">
      <c r="A219" s="1" t="s">
        <v>319</v>
      </c>
      <c r="B219" s="2" t="str">
        <f>VLOOKUP(A219,[1]备料总表!$B:$I,8,0)</f>
        <v>99-001893</v>
      </c>
      <c r="C219" s="3" t="str">
        <f>VLOOKUP(A219,[1]备料总表!$B:$I,2,0)</f>
        <v>S主板S920X10-2*7260（64C@2.6G）-AL</v>
      </c>
      <c r="D219" s="1" t="str">
        <f>VLOOKUP(A219,[1]备料总表!$B:$I,4,0)</f>
        <v>主板</v>
      </c>
      <c r="E219" s="2" t="s">
        <v>323</v>
      </c>
      <c r="F219" s="4">
        <v>1</v>
      </c>
      <c r="G219" s="1" t="s">
        <v>324</v>
      </c>
      <c r="H219" s="3" t="e">
        <f>VLOOKUP(B219,[2]各库区库存!$A:$B,2,0)</f>
        <v>#N/A</v>
      </c>
    </row>
    <row r="220" spans="1:8" s="1" customFormat="1">
      <c r="A220" s="1" t="s">
        <v>319</v>
      </c>
      <c r="B220" s="2" t="str">
        <f>VLOOKUP(A220,[1]备料总表!$B:$I,8,0)</f>
        <v>99-001893</v>
      </c>
      <c r="C220" s="3" t="str">
        <f>VLOOKUP(A220,[1]备料总表!$B:$I,2,0)</f>
        <v>S主板S920X10-2*7260（64C@2.6G）-AL</v>
      </c>
      <c r="D220" s="1" t="str">
        <f>VLOOKUP(A220,[1]备料总表!$B:$I,4,0)</f>
        <v>主板</v>
      </c>
      <c r="E220" s="2" t="s">
        <v>31</v>
      </c>
      <c r="F220" s="4">
        <v>1</v>
      </c>
      <c r="G220" s="1" t="s">
        <v>325</v>
      </c>
      <c r="H220" s="3" t="e">
        <f>VLOOKUP(B220,[2]各库区库存!$A:$B,2,0)</f>
        <v>#N/A</v>
      </c>
    </row>
    <row r="221" spans="1:8" s="1" customFormat="1">
      <c r="A221" s="1" t="s">
        <v>319</v>
      </c>
      <c r="B221" s="2" t="str">
        <f>VLOOKUP(A221,[1]备料总表!$B:$I,8,0)</f>
        <v>99-001893</v>
      </c>
      <c r="C221" s="3" t="str">
        <f>VLOOKUP(A221,[1]备料总表!$B:$I,2,0)</f>
        <v>S主板S920X10-2*7260（64C@2.6G）-AL</v>
      </c>
      <c r="D221" s="1" t="str">
        <f>VLOOKUP(A221,[1]备料总表!$B:$I,4,0)</f>
        <v>主板</v>
      </c>
      <c r="E221" s="2" t="s">
        <v>201</v>
      </c>
      <c r="F221" s="4">
        <v>1</v>
      </c>
      <c r="G221" s="1" t="s">
        <v>326</v>
      </c>
      <c r="H221" s="3" t="e">
        <f>VLOOKUP(B221,[2]各库区库存!$A:$B,2,0)</f>
        <v>#N/A</v>
      </c>
    </row>
    <row r="222" spans="1:8" s="1" customFormat="1">
      <c r="A222" s="1" t="s">
        <v>319</v>
      </c>
      <c r="B222" s="2" t="str">
        <f>VLOOKUP(A222,[1]备料总表!$B:$I,8,0)</f>
        <v>99-001893</v>
      </c>
      <c r="C222" s="3" t="str">
        <f>VLOOKUP(A222,[1]备料总表!$B:$I,2,0)</f>
        <v>S主板S920X10-2*7260（64C@2.6G）-AL</v>
      </c>
      <c r="D222" s="1" t="str">
        <f>VLOOKUP(A222,[1]备料总表!$B:$I,4,0)</f>
        <v>主板</v>
      </c>
      <c r="E222" s="2" t="s">
        <v>30</v>
      </c>
      <c r="F222" s="4">
        <v>1</v>
      </c>
      <c r="G222" s="1" t="s">
        <v>327</v>
      </c>
      <c r="H222" s="3" t="e">
        <f>VLOOKUP(B222,[2]各库区库存!$A:$B,2,0)</f>
        <v>#N/A</v>
      </c>
    </row>
    <row r="223" spans="1:8" s="1" customFormat="1">
      <c r="A223" s="1" t="s">
        <v>319</v>
      </c>
      <c r="B223" s="2" t="str">
        <f>VLOOKUP(A223,[1]备料总表!$B:$I,8,0)</f>
        <v>99-001893</v>
      </c>
      <c r="C223" s="3" t="str">
        <f>VLOOKUP(A223,[1]备料总表!$B:$I,2,0)</f>
        <v>S主板S920X10-2*7260（64C@2.6G）-AL</v>
      </c>
      <c r="D223" s="1" t="str">
        <f>VLOOKUP(A223,[1]备料总表!$B:$I,4,0)</f>
        <v>主板</v>
      </c>
      <c r="E223" s="2" t="s">
        <v>146</v>
      </c>
      <c r="F223" s="4">
        <v>1</v>
      </c>
      <c r="G223" s="1" t="s">
        <v>328</v>
      </c>
      <c r="H223" s="3" t="e">
        <f>VLOOKUP(B223,[2]各库区库存!$A:$B,2,0)</f>
        <v>#N/A</v>
      </c>
    </row>
    <row r="224" spans="1:8" s="1" customFormat="1">
      <c r="A224" s="1" t="s">
        <v>329</v>
      </c>
      <c r="B224" s="2" t="str">
        <f>VLOOKUP(A224,[1]备料总表!$B:$I,8,0)</f>
        <v>99-001894</v>
      </c>
      <c r="C224" s="3" t="str">
        <f>VLOOKUP(A224,[1]备料总表!$B:$I,2,0)</f>
        <v>S主板S920X10-2*5250（48C@2.6G）-AT-1711</v>
      </c>
      <c r="D224" s="1" t="str">
        <f>VLOOKUP(A224,[1]备料总表!$B:$I,4,0)</f>
        <v>主板</v>
      </c>
      <c r="E224" s="2" t="s">
        <v>33</v>
      </c>
      <c r="F224" s="4">
        <v>1</v>
      </c>
      <c r="G224" s="1" t="s">
        <v>330</v>
      </c>
      <c r="H224" s="3" t="e">
        <f>VLOOKUP(B224,[2]各库区库存!$A:$B,2,0)</f>
        <v>#N/A</v>
      </c>
    </row>
    <row r="225" spans="1:8" s="1" customFormat="1">
      <c r="A225" s="1" t="s">
        <v>329</v>
      </c>
      <c r="B225" s="2" t="str">
        <f>VLOOKUP(A225,[1]备料总表!$B:$I,8,0)</f>
        <v>99-001894</v>
      </c>
      <c r="C225" s="3" t="str">
        <f>VLOOKUP(A225,[1]备料总表!$B:$I,2,0)</f>
        <v>S主板S920X10-2*5250（48C@2.6G）-AT-1711</v>
      </c>
      <c r="D225" s="1" t="str">
        <f>VLOOKUP(A225,[1]备料总表!$B:$I,4,0)</f>
        <v>主板</v>
      </c>
      <c r="E225" s="2" t="s">
        <v>293</v>
      </c>
      <c r="F225" s="4">
        <v>1</v>
      </c>
      <c r="G225" s="1" t="s">
        <v>331</v>
      </c>
      <c r="H225" s="3" t="e">
        <f>VLOOKUP(B225,[2]各库区库存!$A:$B,2,0)</f>
        <v>#N/A</v>
      </c>
    </row>
    <row r="226" spans="1:8" s="1" customFormat="1">
      <c r="A226" s="1" t="s">
        <v>329</v>
      </c>
      <c r="B226" s="2" t="str">
        <f>VLOOKUP(A226,[1]备料总表!$B:$I,8,0)</f>
        <v>99-001894</v>
      </c>
      <c r="C226" s="3" t="str">
        <f>VLOOKUP(A226,[1]备料总表!$B:$I,2,0)</f>
        <v>S主板S920X10-2*5250（48C@2.6G）-AT-1711</v>
      </c>
      <c r="D226" s="1" t="str">
        <f>VLOOKUP(A226,[1]备料总表!$B:$I,4,0)</f>
        <v>主板</v>
      </c>
      <c r="E226" s="2" t="s">
        <v>223</v>
      </c>
      <c r="F226" s="4">
        <v>1</v>
      </c>
      <c r="G226" s="1" t="s">
        <v>332</v>
      </c>
      <c r="H226" s="3" t="e">
        <f>VLOOKUP(B226,[2]各库区库存!$A:$B,2,0)</f>
        <v>#N/A</v>
      </c>
    </row>
    <row r="227" spans="1:8" s="1" customFormat="1">
      <c r="A227" s="1" t="s">
        <v>329</v>
      </c>
      <c r="B227" s="2" t="str">
        <f>VLOOKUP(A227,[1]备料总表!$B:$I,8,0)</f>
        <v>99-001894</v>
      </c>
      <c r="C227" s="3" t="str">
        <f>VLOOKUP(A227,[1]备料总表!$B:$I,2,0)</f>
        <v>S主板S920X10-2*5250（48C@2.6G）-AT-1711</v>
      </c>
      <c r="D227" s="1" t="str">
        <f>VLOOKUP(A227,[1]备料总表!$B:$I,4,0)</f>
        <v>主板</v>
      </c>
      <c r="E227" s="2" t="s">
        <v>241</v>
      </c>
      <c r="F227" s="4">
        <v>1</v>
      </c>
      <c r="G227" s="1" t="s">
        <v>333</v>
      </c>
      <c r="H227" s="3" t="e">
        <f>VLOOKUP(B227,[2]各库区库存!$A:$B,2,0)</f>
        <v>#N/A</v>
      </c>
    </row>
    <row r="228" spans="1:8" s="1" customFormat="1">
      <c r="A228" s="1" t="s">
        <v>329</v>
      </c>
      <c r="B228" s="2" t="str">
        <f>VLOOKUP(A228,[1]备料总表!$B:$I,8,0)</f>
        <v>99-001894</v>
      </c>
      <c r="C228" s="3" t="str">
        <f>VLOOKUP(A228,[1]备料总表!$B:$I,2,0)</f>
        <v>S主板S920X10-2*5250（48C@2.6G）-AT-1711</v>
      </c>
      <c r="D228" s="1" t="str">
        <f>VLOOKUP(A228,[1]备料总表!$B:$I,4,0)</f>
        <v>主板</v>
      </c>
      <c r="E228" s="2" t="s">
        <v>146</v>
      </c>
      <c r="F228" s="4">
        <v>1</v>
      </c>
      <c r="G228" s="1" t="s">
        <v>334</v>
      </c>
      <c r="H228" s="3" t="e">
        <f>VLOOKUP(B228,[2]各库区库存!$A:$B,2,0)</f>
        <v>#N/A</v>
      </c>
    </row>
    <row r="229" spans="1:8" s="1" customFormat="1">
      <c r="A229" s="1" t="s">
        <v>335</v>
      </c>
      <c r="B229" s="2" t="str">
        <f>VLOOKUP(A229,[1]备料总表!$B:$I,8,0)</f>
        <v>99-001894</v>
      </c>
      <c r="C229" s="3" t="str">
        <f>VLOOKUP(A229,[1]备料总表!$B:$I,2,0)</f>
        <v>S主板S920X10-2*5250(48C@2.6G)-AD-1711</v>
      </c>
      <c r="D229" s="1" t="str">
        <f>VLOOKUP(A229,[1]备料总表!$B:$I,4,0)</f>
        <v>主板</v>
      </c>
      <c r="E229" s="2" t="s">
        <v>86</v>
      </c>
      <c r="F229" s="4">
        <v>1</v>
      </c>
      <c r="G229" s="1" t="s">
        <v>336</v>
      </c>
      <c r="H229" s="3" t="e">
        <f>VLOOKUP(B229,[2]各库区库存!$A:$B,2,0)</f>
        <v>#N/A</v>
      </c>
    </row>
    <row r="230" spans="1:8" s="1" customFormat="1">
      <c r="A230" s="1" t="s">
        <v>335</v>
      </c>
      <c r="B230" s="2" t="str">
        <f>VLOOKUP(A230,[1]备料总表!$B:$I,8,0)</f>
        <v>99-001894</v>
      </c>
      <c r="C230" s="3" t="str">
        <f>VLOOKUP(A230,[1]备料总表!$B:$I,2,0)</f>
        <v>S主板S920X10-2*5250(48C@2.6G)-AD-1711</v>
      </c>
      <c r="D230" s="1" t="str">
        <f>VLOOKUP(A230,[1]备料总表!$B:$I,4,0)</f>
        <v>主板</v>
      </c>
      <c r="E230" s="2" t="s">
        <v>337</v>
      </c>
      <c r="F230" s="4">
        <v>1</v>
      </c>
      <c r="G230" s="1" t="s">
        <v>338</v>
      </c>
      <c r="H230" s="3" t="e">
        <f>VLOOKUP(B230,[2]各库区库存!$A:$B,2,0)</f>
        <v>#N/A</v>
      </c>
    </row>
    <row r="231" spans="1:8" s="1" customFormat="1">
      <c r="A231" s="1" t="s">
        <v>335</v>
      </c>
      <c r="B231" s="2" t="str">
        <f>VLOOKUP(A231,[1]备料总表!$B:$I,8,0)</f>
        <v>99-001894</v>
      </c>
      <c r="C231" s="3" t="str">
        <f>VLOOKUP(A231,[1]备料总表!$B:$I,2,0)</f>
        <v>S主板S920X10-2*5250(48C@2.6G)-AD-1711</v>
      </c>
      <c r="D231" s="1" t="str">
        <f>VLOOKUP(A231,[1]备料总表!$B:$I,4,0)</f>
        <v>主板</v>
      </c>
      <c r="E231" s="2" t="s">
        <v>313</v>
      </c>
      <c r="F231" s="4">
        <v>1</v>
      </c>
      <c r="G231" s="1" t="s">
        <v>339</v>
      </c>
      <c r="H231" s="3" t="e">
        <f>VLOOKUP(B231,[2]各库区库存!$A:$B,2,0)</f>
        <v>#N/A</v>
      </c>
    </row>
    <row r="232" spans="1:8" s="1" customFormat="1">
      <c r="A232" s="1" t="s">
        <v>335</v>
      </c>
      <c r="B232" s="2" t="str">
        <f>VLOOKUP(A232,[1]备料总表!$B:$I,8,0)</f>
        <v>99-001894</v>
      </c>
      <c r="C232" s="3" t="str">
        <f>VLOOKUP(A232,[1]备料总表!$B:$I,2,0)</f>
        <v>S主板S920X10-2*5250(48C@2.6G)-AD-1711</v>
      </c>
      <c r="D232" s="1" t="str">
        <f>VLOOKUP(A232,[1]备料总表!$B:$I,4,0)</f>
        <v>主板</v>
      </c>
      <c r="E232" s="2" t="s">
        <v>16</v>
      </c>
      <c r="F232" s="4">
        <v>1</v>
      </c>
      <c r="G232" s="1" t="s">
        <v>340</v>
      </c>
      <c r="H232" s="3" t="e">
        <f>VLOOKUP(B232,[2]各库区库存!$A:$B,2,0)</f>
        <v>#N/A</v>
      </c>
    </row>
    <row r="233" spans="1:8" s="1" customFormat="1">
      <c r="A233" s="1" t="s">
        <v>341</v>
      </c>
      <c r="B233" s="2" t="str">
        <f>VLOOKUP(A233,[1]备料总表!$B:$I,8,0)</f>
        <v>99-001915</v>
      </c>
      <c r="C233" s="3" t="str">
        <f>VLOOKUP(A233,[1]备料总表!$B:$I,2,0)</f>
        <v>NVMeSSDJ5300-3.2T-U.2PCIe4-2.5读写DPW</v>
      </c>
      <c r="D233" s="1" t="str">
        <f>VLOOKUP(A233,[1]备料总表!$B:$I,4,0)</f>
        <v>硬盘</v>
      </c>
      <c r="E233" s="2" t="s">
        <v>22</v>
      </c>
      <c r="F233" s="5">
        <v>1</v>
      </c>
      <c r="G233" s="1" t="s">
        <v>342</v>
      </c>
      <c r="H233" s="3" t="e">
        <f>VLOOKUP(B233,[2]各库区库存!$A:$B,2,0)</f>
        <v>#N/A</v>
      </c>
    </row>
    <row r="234" spans="1:8" s="1" customFormat="1">
      <c r="A234" s="1" t="s">
        <v>343</v>
      </c>
      <c r="B234" s="2" t="str">
        <f>VLOOKUP(A234,[1]备料总表!$B:$I,8,0)</f>
        <v>99-001977</v>
      </c>
      <c r="C234" s="3" t="str">
        <f>VLOOKUP(A234,[1]备料总表!$B:$I,2,0)</f>
        <v>S主板S920S00-2*5225F(32C@3.0)-AE-1711</v>
      </c>
      <c r="D234" s="1" t="str">
        <f>VLOOKUP(A234,[1]备料总表!$B:$I,4,0)</f>
        <v>主板</v>
      </c>
      <c r="E234" s="2" t="s">
        <v>86</v>
      </c>
      <c r="F234" s="4">
        <v>1</v>
      </c>
      <c r="G234" s="1" t="s">
        <v>344</v>
      </c>
      <c r="H234" s="3" t="e">
        <f>VLOOKUP(B234,[2]各库区库存!$A:$B,2,0)</f>
        <v>#N/A</v>
      </c>
    </row>
    <row r="235" spans="1:8" s="1" customFormat="1">
      <c r="A235" s="1" t="s">
        <v>343</v>
      </c>
      <c r="B235" s="2" t="str">
        <f>VLOOKUP(A235,[1]备料总表!$B:$I,8,0)</f>
        <v>99-001977</v>
      </c>
      <c r="C235" s="3" t="str">
        <f>VLOOKUP(A235,[1]备料总表!$B:$I,2,0)</f>
        <v>S主板S920S00-2*5225F(32C@3.0)-AE-1711</v>
      </c>
      <c r="D235" s="1" t="str">
        <f>VLOOKUP(A235,[1]备料总表!$B:$I,4,0)</f>
        <v>主板</v>
      </c>
      <c r="E235" s="2" t="s">
        <v>67</v>
      </c>
      <c r="F235" s="4">
        <v>1</v>
      </c>
      <c r="G235" s="1" t="s">
        <v>104</v>
      </c>
      <c r="H235" s="3" t="e">
        <f>VLOOKUP(B235,[2]各库区库存!$A:$B,2,0)</f>
        <v>#N/A</v>
      </c>
    </row>
    <row r="236" spans="1:8" s="1" customFormat="1">
      <c r="A236" s="1" t="s">
        <v>343</v>
      </c>
      <c r="B236" s="2" t="str">
        <f>VLOOKUP(A236,[1]备料总表!$B:$I,8,0)</f>
        <v>99-001977</v>
      </c>
      <c r="C236" s="3" t="str">
        <f>VLOOKUP(A236,[1]备料总表!$B:$I,2,0)</f>
        <v>S主板S920S00-2*5225F(32C@3.0)-AE-1711</v>
      </c>
      <c r="D236" s="1" t="str">
        <f>VLOOKUP(A236,[1]备料总表!$B:$I,4,0)</f>
        <v>主板</v>
      </c>
      <c r="E236" s="2" t="s">
        <v>12</v>
      </c>
      <c r="F236" s="6">
        <v>1</v>
      </c>
      <c r="G236" s="1" t="s">
        <v>345</v>
      </c>
      <c r="H236" s="3" t="e">
        <f>VLOOKUP(B236,[2]各库区库存!$A:$B,2,0)</f>
        <v>#N/A</v>
      </c>
    </row>
    <row r="237" spans="1:8" s="1" customFormat="1">
      <c r="A237" s="1" t="s">
        <v>346</v>
      </c>
      <c r="B237" s="2" t="str">
        <f>VLOOKUP(A237,[1]备料总表!$B:$I,8,0)</f>
        <v>99-002079</v>
      </c>
      <c r="C237" s="3" t="str">
        <f>VLOOKUP(A237,[1]备料总表!$B:$I,2,0)</f>
        <v>NVMeSSD UH811a-1.92TB-PCIe4-2.5读取YL-Y</v>
      </c>
      <c r="D237" s="1" t="str">
        <f>VLOOKUP(A237,[1]备料总表!$B:$I,4,0)</f>
        <v>硬盘</v>
      </c>
      <c r="E237" s="2" t="s">
        <v>55</v>
      </c>
      <c r="F237" s="4">
        <v>1</v>
      </c>
      <c r="G237" s="1" t="s">
        <v>175</v>
      </c>
      <c r="H237" s="3" t="e">
        <f>VLOOKUP(B237,[2]各库区库存!$A:$B,2,0)</f>
        <v>#N/A</v>
      </c>
    </row>
    <row r="238" spans="1:8" s="1" customFormat="1">
      <c r="A238" s="1" t="s">
        <v>347</v>
      </c>
      <c r="B238" s="2" t="str">
        <f>VLOOKUP(A238,[1]备料总表!$B:$I,8,0)</f>
        <v>99-002084</v>
      </c>
      <c r="C238" s="3" t="str">
        <f>VLOOKUP(A238,[1]备料总表!$B:$I,2,0)</f>
        <v>SSD S4520-7.68T-SATA-2.5 读取 Intel</v>
      </c>
      <c r="D238" s="1" t="str">
        <f>VLOOKUP(A238,[1]备料总表!$B:$I,4,0)</f>
        <v>硬盘</v>
      </c>
      <c r="E238" s="2" t="s">
        <v>16</v>
      </c>
      <c r="F238" s="4">
        <v>1</v>
      </c>
      <c r="G238" s="1" t="s">
        <v>244</v>
      </c>
      <c r="H238" s="3" t="e">
        <f>VLOOKUP(B238,[2]各库区库存!$A:$B,2,0)</f>
        <v>#N/A</v>
      </c>
    </row>
    <row r="239" spans="1:8" s="1" customFormat="1">
      <c r="A239" s="1" t="s">
        <v>348</v>
      </c>
      <c r="B239" s="2" t="str">
        <f>VLOOKUP(A239,[1]备料总表!$B:$I,8,0)</f>
        <v>99-002084</v>
      </c>
      <c r="C239" s="3" t="str">
        <f>VLOOKUP(A239,[1]备料总表!$B:$I,2,0)</f>
        <v>SSD PM893读取-7.68TB-SATA 2.5 V1.0</v>
      </c>
      <c r="D239" s="1" t="str">
        <f>VLOOKUP(A239,[1]备料总表!$B:$I,4,0)</f>
        <v>硬盘</v>
      </c>
      <c r="E239" s="2" t="s">
        <v>22</v>
      </c>
      <c r="F239" s="5">
        <v>1</v>
      </c>
      <c r="G239" s="1" t="s">
        <v>342</v>
      </c>
      <c r="H239" s="3" t="e">
        <f>VLOOKUP(B239,[2]各库区库存!$A:$B,2,0)</f>
        <v>#N/A</v>
      </c>
    </row>
    <row r="240" spans="1:8" s="1" customFormat="1">
      <c r="A240" s="1" t="s">
        <v>349</v>
      </c>
      <c r="B240" s="2" t="str">
        <f>VLOOKUP(A240,[1]备料总表!$B:$I,8,0)</f>
        <v>99-002086</v>
      </c>
      <c r="C240" s="3" t="str">
        <f>VLOOKUP(A240,[1]备料总表!$B:$I,2,0)</f>
        <v>NVMeSSD UH811a-7.68TB-PCIe4-2.5读取YL-K</v>
      </c>
      <c r="D240" s="1" t="str">
        <f>VLOOKUP(A240,[1]备料总表!$B:$I,4,0)</f>
        <v>硬盘</v>
      </c>
      <c r="E240" s="2" t="s">
        <v>81</v>
      </c>
      <c r="F240" s="4">
        <v>1</v>
      </c>
      <c r="G240" s="1" t="s">
        <v>350</v>
      </c>
      <c r="H240" s="3" t="e">
        <f>VLOOKUP(B240,[2]各库区库存!$A:$B,2,0)</f>
        <v>#N/A</v>
      </c>
    </row>
    <row r="241" spans="1:8" s="1" customFormat="1">
      <c r="A241" s="1" t="s">
        <v>351</v>
      </c>
      <c r="B241" s="2" t="str">
        <f>VLOOKUP(A241,[1]备料总表!$B:$I,8,0)</f>
        <v>99-002104</v>
      </c>
      <c r="C241" s="3" t="str">
        <f>VLOOKUP(A241,[1]备料总表!$B:$I,2,0)</f>
        <v>SSD PM897-480GB-SATA 2.5读写-SX V1.0</v>
      </c>
      <c r="D241" s="1" t="str">
        <f>VLOOKUP(A241,[1]备料总表!$B:$I,4,0)</f>
        <v>硬盘</v>
      </c>
      <c r="E241" s="2" t="s">
        <v>198</v>
      </c>
      <c r="F241" s="4">
        <v>1</v>
      </c>
      <c r="G241" s="1" t="s">
        <v>352</v>
      </c>
      <c r="H241" s="3" t="e">
        <f>VLOOKUP(B241,[2]各库区库存!$A:$B,2,0)</f>
        <v>#N/A</v>
      </c>
    </row>
    <row r="242" spans="1:8" s="1" customFormat="1">
      <c r="A242" s="1" t="s">
        <v>353</v>
      </c>
      <c r="B242" s="2" t="str">
        <f>VLOOKUP(A242,[1]备料总表!$B:$I,8,0)</f>
        <v>99-002432</v>
      </c>
      <c r="C242" s="3" t="str">
        <f>VLOOKUP(A242,[1]备料总表!$B:$I,2,0)</f>
        <v>网卡MCX631102AN-ADAT-2*25-SFP28-PCIe4.0x8</v>
      </c>
      <c r="D242" s="1" t="str">
        <f>VLOOKUP(A242,[1]备料总表!$B:$I,4,0)</f>
        <v>网卡</v>
      </c>
      <c r="E242" s="2" t="s">
        <v>223</v>
      </c>
      <c r="F242" s="4">
        <v>1</v>
      </c>
      <c r="G242" s="1" t="s">
        <v>354</v>
      </c>
      <c r="H242" s="3" t="e">
        <f>VLOOKUP(B242,[2]各库区库存!$A:$B,2,0)</f>
        <v>#N/A</v>
      </c>
    </row>
    <row r="243" spans="1:8" s="1" customFormat="1">
      <c r="A243" s="1" t="s">
        <v>355</v>
      </c>
      <c r="B243" s="2" t="str">
        <f>VLOOKUP(A243,[1]备料总表!$B:$I,8,0)</f>
        <v>99-002442</v>
      </c>
      <c r="C243" s="3" t="str">
        <f>VLOOKUP(A243,[1]备料总表!$B:$I,2,0)</f>
        <v>AI卡-Atlas 300V Pro PCIe4.0x16</v>
      </c>
      <c r="D243" s="1" t="str">
        <f>VLOOKUP(A243,[1]备料总表!$B:$I,4,0)</f>
        <v>AI推理卡</v>
      </c>
      <c r="E243" s="2" t="s">
        <v>28</v>
      </c>
      <c r="F243" s="4">
        <v>1</v>
      </c>
      <c r="G243" s="1" t="s">
        <v>352</v>
      </c>
      <c r="H243" s="3" t="e">
        <f>VLOOKUP(B243,[2]各库区库存!$A:$B,2,0)</f>
        <v>#N/A</v>
      </c>
    </row>
    <row r="244" spans="1:8" s="1" customFormat="1">
      <c r="A244" s="1" t="s">
        <v>355</v>
      </c>
      <c r="B244" s="2" t="str">
        <f>VLOOKUP(A244,[1]备料总表!$B:$I,8,0)</f>
        <v>99-002442</v>
      </c>
      <c r="C244" s="3" t="str">
        <f>VLOOKUP(A244,[1]备料总表!$B:$I,2,0)</f>
        <v>AI卡-Atlas 300V Pro PCIe4.0x16</v>
      </c>
      <c r="D244" s="1" t="str">
        <f>VLOOKUP(A244,[1]备料总表!$B:$I,4,0)</f>
        <v>AI推理卡</v>
      </c>
      <c r="E244" s="2" t="s">
        <v>201</v>
      </c>
      <c r="F244" s="4">
        <v>1</v>
      </c>
      <c r="G244" s="1" t="s">
        <v>356</v>
      </c>
      <c r="H244" s="3" t="e">
        <f>VLOOKUP(B244,[2]各库区库存!$A:$B,2,0)</f>
        <v>#N/A</v>
      </c>
    </row>
    <row r="245" spans="1:8" s="1" customFormat="1">
      <c r="A245" s="1" t="s">
        <v>355</v>
      </c>
      <c r="B245" s="2" t="str">
        <f>VLOOKUP(A245,[1]备料总表!$B:$I,8,0)</f>
        <v>99-002442</v>
      </c>
      <c r="C245" s="3" t="str">
        <f>VLOOKUP(A245,[1]备料总表!$B:$I,2,0)</f>
        <v>AI卡-Atlas 300V Pro PCIe4.0x16</v>
      </c>
      <c r="D245" s="1" t="str">
        <f>VLOOKUP(A245,[1]备料总表!$B:$I,4,0)</f>
        <v>AI推理卡</v>
      </c>
      <c r="E245" s="2" t="s">
        <v>33</v>
      </c>
      <c r="F245" s="4">
        <v>1</v>
      </c>
      <c r="G245" s="1" t="s">
        <v>356</v>
      </c>
      <c r="H245" s="3" t="e">
        <f>VLOOKUP(B245,[2]各库区库存!$A:$B,2,0)</f>
        <v>#N/A</v>
      </c>
    </row>
    <row r="246" spans="1:8" s="1" customFormat="1">
      <c r="A246" s="1" t="s">
        <v>357</v>
      </c>
      <c r="B246" s="2" t="str">
        <f>VLOOKUP(A246,[1]备料总表!$B:$I,8,0)</f>
        <v>99-002547</v>
      </c>
      <c r="C246" s="3" t="str">
        <f>VLOOKUP(A246,[1]备料总表!$B:$I,2,0)</f>
        <v>NVMeSSD-R5101-3.84T-U.2-PCIe4-2.5-读取 DPW</v>
      </c>
      <c r="D246" s="1" t="str">
        <f>VLOOKUP(A246,[1]备料总表!$B:$I,4,0)</f>
        <v>硬盘</v>
      </c>
      <c r="E246" s="2" t="s">
        <v>9</v>
      </c>
      <c r="F246" s="4">
        <v>1</v>
      </c>
      <c r="G246" s="1" t="s">
        <v>358</v>
      </c>
      <c r="H246" s="3" t="e">
        <f>VLOOKUP(B246,[2]各库区库存!$A:$B,2,0)</f>
        <v>#N/A</v>
      </c>
    </row>
    <row r="247" spans="1:8" s="1" customFormat="1">
      <c r="A247" s="1" t="s">
        <v>359</v>
      </c>
      <c r="B247" s="2" t="str">
        <f>VLOOKUP(A247,[1]备料总表!$B:$I,8,0)</f>
        <v>99-002632</v>
      </c>
      <c r="C247" s="3" t="str">
        <f>VLOOKUP(A247,[1]备料总表!$B:$I,2,0)</f>
        <v>高速PCIe线缆-1/0.65/0.65/0.75m-A924四合一线缆</v>
      </c>
      <c r="D247" s="1" t="str">
        <f>VLOOKUP(A247,[1]备料总表!$B:$I,4,0)</f>
        <v>线缆</v>
      </c>
      <c r="E247" s="2" t="s">
        <v>86</v>
      </c>
      <c r="F247" s="4">
        <v>1</v>
      </c>
      <c r="G247" s="1" t="s">
        <v>87</v>
      </c>
      <c r="H247" s="3" t="e">
        <f>VLOOKUP(B247,[2]各库区库存!$A:$B,2,0)</f>
        <v>#N/A</v>
      </c>
    </row>
    <row r="248" spans="1:8" s="1" customFormat="1">
      <c r="A248" s="1" t="s">
        <v>359</v>
      </c>
      <c r="B248" s="2" t="str">
        <f>VLOOKUP(A248,[1]备料总表!$B:$I,8,0)</f>
        <v>99-002632</v>
      </c>
      <c r="C248" s="3" t="str">
        <f>VLOOKUP(A248,[1]备料总表!$B:$I,2,0)</f>
        <v>高速PCIe线缆-1/0.65/0.65/0.75m-A924四合一线缆</v>
      </c>
      <c r="D248" s="1" t="str">
        <f>VLOOKUP(A248,[1]备料总表!$B:$I,4,0)</f>
        <v>线缆</v>
      </c>
      <c r="E248" s="2" t="s">
        <v>65</v>
      </c>
      <c r="F248" s="4">
        <v>1</v>
      </c>
      <c r="G248" s="1" t="s">
        <v>66</v>
      </c>
      <c r="H248" s="3" t="e">
        <f>VLOOKUP(B248,[2]各库区库存!$A:$B,2,0)</f>
        <v>#N/A</v>
      </c>
    </row>
    <row r="249" spans="1:8" s="1" customFormat="1">
      <c r="A249" s="1" t="s">
        <v>360</v>
      </c>
      <c r="B249" s="2" t="str">
        <f>VLOOKUP(A249,[1]备料总表!$B:$I,8,0)</f>
        <v>99-002652</v>
      </c>
      <c r="C249" s="3" t="str">
        <f>VLOOKUP(A249,[1]备料总表!$B:$I,2,0)</f>
        <v>NVIDIA-Tesla T4 计算卡-16GB 半高半长</v>
      </c>
      <c r="D249" s="1" t="str">
        <f>VLOOKUP(A249,[1]备料总表!$B:$I,4,0)</f>
        <v>AI推理卡</v>
      </c>
      <c r="E249" s="2" t="s">
        <v>81</v>
      </c>
      <c r="F249" s="4">
        <v>1</v>
      </c>
      <c r="G249" s="1" t="s">
        <v>361</v>
      </c>
      <c r="H249" s="3" t="e">
        <f>VLOOKUP(B249,[2]各库区库存!$A:$B,2,0)</f>
        <v>#N/A</v>
      </c>
    </row>
    <row r="250" spans="1:8" s="1" customFormat="1">
      <c r="A250" s="1" t="s">
        <v>362</v>
      </c>
      <c r="B250" s="2" t="str">
        <f>VLOOKUP(A250,[1]备料总表!$B:$I,8,0)</f>
        <v>99-002745</v>
      </c>
      <c r="C250" s="3" t="str">
        <f>VLOOKUP(A250,[1]备料总表!$B:$I,2,0)</f>
        <v>高速电缆-Slimline-2*mini SAS HD-0.7m&amp;0.6m</v>
      </c>
      <c r="D250" s="1" t="str">
        <f>VLOOKUP(A250,[1]备料总表!$B:$I,4,0)</f>
        <v>线缆</v>
      </c>
      <c r="E250" s="2" t="s">
        <v>65</v>
      </c>
      <c r="F250" s="4">
        <v>1</v>
      </c>
      <c r="G250" s="1" t="s">
        <v>66</v>
      </c>
      <c r="H250" s="3" t="e">
        <f>VLOOKUP(B250,[2]各库区库存!$A:$B,2,0)</f>
        <v>#N/A</v>
      </c>
    </row>
    <row r="251" spans="1:8" s="1" customFormat="1">
      <c r="A251" s="1" t="s">
        <v>363</v>
      </c>
      <c r="B251" s="2" t="str">
        <f>VLOOKUP(A251,[1]备料总表!$B:$I,8,0)</f>
        <v>99-002794</v>
      </c>
      <c r="C251" s="3" t="str">
        <f>VLOOKUP(A251,[1]备料总表!$B:$I,2,0)</f>
        <v>S主板S920S03-1*5220(32C@2.6)AP-1711-3A</v>
      </c>
      <c r="D251" s="1" t="str">
        <f>VLOOKUP(A251,[1]备料总表!$B:$I,4,0)</f>
        <v>主板</v>
      </c>
      <c r="E251" s="2" t="s">
        <v>55</v>
      </c>
      <c r="F251" s="4">
        <v>1</v>
      </c>
      <c r="G251" s="1" t="s">
        <v>364</v>
      </c>
      <c r="H251" s="3" t="e">
        <f>VLOOKUP(B251,[2]各库区库存!$A:$B,2,0)</f>
        <v>#N/A</v>
      </c>
    </row>
    <row r="252" spans="1:8" s="1" customFormat="1">
      <c r="A252" s="1" t="s">
        <v>365</v>
      </c>
      <c r="B252" s="2" t="str">
        <f>VLOOKUP(A252,[1]备料总表!$B:$I,8,0)</f>
        <v>99-003021</v>
      </c>
      <c r="C252" s="3" t="str">
        <f>VLOOKUP(A252,[1]备料总表!$B:$I,2,0)</f>
        <v>网卡MCX623106AN-CDAT 100G双口 QSFP56无模HHHL</v>
      </c>
      <c r="D252" s="1" t="str">
        <f>VLOOKUP(A252,[1]备料总表!$B:$I,4,0)</f>
        <v>网卡</v>
      </c>
      <c r="E252" s="2" t="s">
        <v>9</v>
      </c>
      <c r="F252" s="4">
        <v>1</v>
      </c>
      <c r="G252" s="1" t="s">
        <v>41</v>
      </c>
      <c r="H252" s="3" t="e">
        <f>VLOOKUP(B252,[2]各库区库存!$A:$B,2,0)</f>
        <v>#N/A</v>
      </c>
    </row>
    <row r="253" spans="1:8" s="1" customFormat="1">
      <c r="A253" s="1" t="s">
        <v>366</v>
      </c>
      <c r="B253" s="2" t="str">
        <f>VLOOKUP(A253,[1]备料总表!$B:$I,8,0)</f>
        <v>99-003024</v>
      </c>
      <c r="C253" s="3" t="str">
        <f>VLOOKUP(A253,[1]备料总表!$B:$I,2,0)</f>
        <v>SSD UH611a-960GB-SAS3.0-2.5读取 YL</v>
      </c>
      <c r="D253" s="1" t="str">
        <f>VLOOKUP(A253,[1]备料总表!$B:$I,4,0)</f>
        <v>硬盘</v>
      </c>
      <c r="E253" s="2" t="s">
        <v>65</v>
      </c>
      <c r="F253" s="4">
        <v>1</v>
      </c>
      <c r="G253" s="1" t="s">
        <v>367</v>
      </c>
      <c r="H253" s="3" t="e">
        <f>VLOOKUP(B253,[2]各库区库存!$A:$B,2,0)</f>
        <v>#N/A</v>
      </c>
    </row>
    <row r="254" spans="1:8" s="1" customFormat="1">
      <c r="A254" s="1" t="s">
        <v>368</v>
      </c>
      <c r="B254" s="2" t="str">
        <f>VLOOKUP(A254,[1]备料总表!$B:$I,8,0)</f>
        <v>99-003042</v>
      </c>
      <c r="C254" s="3" t="str">
        <f>VLOOKUP(A254,[1]备料总表!$B:$I,2,0)</f>
        <v>Riser模组-3*8X SLOT Riser1&amp;2</v>
      </c>
      <c r="D254" s="1" t="str">
        <f>VLOOKUP(A254,[1]备料总表!$B:$I,4,0)</f>
        <v>Riser模组</v>
      </c>
      <c r="E254" s="2" t="s">
        <v>138</v>
      </c>
      <c r="F254" s="4">
        <v>1</v>
      </c>
      <c r="G254" s="1" t="s">
        <v>120</v>
      </c>
      <c r="H254" s="3" t="e">
        <f>VLOOKUP(B254,[2]各库区库存!$A:$B,2,0)</f>
        <v>#N/A</v>
      </c>
    </row>
    <row r="255" spans="1:8" s="1" customFormat="1">
      <c r="A255" s="1" t="s">
        <v>368</v>
      </c>
      <c r="B255" s="2" t="str">
        <f>VLOOKUP(A255,[1]备料总表!$B:$I,8,0)</f>
        <v>99-003042</v>
      </c>
      <c r="C255" s="3" t="str">
        <f>VLOOKUP(A255,[1]备料总表!$B:$I,2,0)</f>
        <v>Riser模组-3*8X SLOT Riser1&amp;2</v>
      </c>
      <c r="D255" s="1" t="str">
        <f>VLOOKUP(A255,[1]备料总表!$B:$I,4,0)</f>
        <v>Riser模组</v>
      </c>
      <c r="E255" s="2" t="s">
        <v>71</v>
      </c>
      <c r="F255" s="4">
        <v>1</v>
      </c>
      <c r="G255" s="1" t="s">
        <v>369</v>
      </c>
      <c r="H255" s="3" t="e">
        <f>VLOOKUP(B255,[2]各库区库存!$A:$B,2,0)</f>
        <v>#N/A</v>
      </c>
    </row>
    <row r="256" spans="1:8" s="1" customFormat="1">
      <c r="A256" s="1" t="s">
        <v>368</v>
      </c>
      <c r="B256" s="2" t="str">
        <f>VLOOKUP(A256,[1]备料总表!$B:$I,8,0)</f>
        <v>99-003042</v>
      </c>
      <c r="C256" s="3" t="str">
        <f>VLOOKUP(A256,[1]备料总表!$B:$I,2,0)</f>
        <v>Riser模组-3*8X SLOT Riser1&amp;2</v>
      </c>
      <c r="D256" s="1" t="str">
        <f>VLOOKUP(A256,[1]备料总表!$B:$I,4,0)</f>
        <v>Riser模组</v>
      </c>
      <c r="E256" s="2" t="s">
        <v>19</v>
      </c>
      <c r="F256" s="4">
        <v>1</v>
      </c>
      <c r="G256" s="1" t="s">
        <v>370</v>
      </c>
      <c r="H256" s="3" t="e">
        <f>VLOOKUP(B256,[2]各库区库存!$A:$B,2,0)</f>
        <v>#N/A</v>
      </c>
    </row>
    <row r="257" spans="1:8" s="1" customFormat="1">
      <c r="A257" s="12" t="s">
        <v>371</v>
      </c>
      <c r="B257" s="2" t="str">
        <f>VLOOKUP(A257,[1]备料总表!$B:$I,8,0)</f>
        <v>99-003288</v>
      </c>
      <c r="C257" s="3" t="str">
        <f>VLOOKUP(A257,[1]备料总表!$B:$I,2,0)</f>
        <v>Hi1620 4P服务器主板E-5250</v>
      </c>
      <c r="D257" s="1" t="str">
        <f>VLOOKUP(A257,[1]备料总表!$B:$I,4,0)</f>
        <v>主板</v>
      </c>
      <c r="E257" s="2" t="s">
        <v>22</v>
      </c>
      <c r="F257" s="4">
        <v>1</v>
      </c>
      <c r="G257" s="1" t="s">
        <v>372</v>
      </c>
      <c r="H257" s="3" t="e">
        <f>VLOOKUP(B257,[2]各库区库存!$A:$B,2,0)</f>
        <v>#N/A</v>
      </c>
    </row>
    <row r="258" spans="1:8" s="1" customFormat="1">
      <c r="A258" s="1" t="s">
        <v>371</v>
      </c>
      <c r="B258" s="2" t="str">
        <f>VLOOKUP(A258,[1]备料总表!$B:$I,8,0)</f>
        <v>99-003288</v>
      </c>
      <c r="C258" s="3" t="str">
        <f>VLOOKUP(A258,[1]备料总表!$B:$I,2,0)</f>
        <v>Hi1620 4P服务器主板E-5250</v>
      </c>
      <c r="D258" s="1" t="str">
        <f>VLOOKUP(A258,[1]备料总表!$B:$I,4,0)</f>
        <v>主板</v>
      </c>
      <c r="E258" s="2" t="s">
        <v>86</v>
      </c>
      <c r="F258" s="4">
        <v>1</v>
      </c>
      <c r="G258" s="1" t="s">
        <v>87</v>
      </c>
      <c r="H258" s="3" t="e">
        <f>VLOOKUP(B258,[2]各库区库存!$A:$B,2,0)</f>
        <v>#N/A</v>
      </c>
    </row>
    <row r="259" spans="1:8" s="1" customFormat="1">
      <c r="A259" s="1" t="s">
        <v>371</v>
      </c>
      <c r="B259" s="2" t="str">
        <f>VLOOKUP(A259,[1]备料总表!$B:$I,8,0)</f>
        <v>99-003288</v>
      </c>
      <c r="C259" s="3" t="str">
        <f>VLOOKUP(A259,[1]备料总表!$B:$I,2,0)</f>
        <v>Hi1620 4P服务器主板E-5250</v>
      </c>
      <c r="D259" s="1" t="str">
        <f>VLOOKUP(A259,[1]备料总表!$B:$I,4,0)</f>
        <v>主板</v>
      </c>
      <c r="E259" s="2" t="s">
        <v>65</v>
      </c>
      <c r="F259" s="4">
        <v>1</v>
      </c>
      <c r="G259" s="1" t="s">
        <v>66</v>
      </c>
      <c r="H259" s="3" t="e">
        <f>VLOOKUP(B259,[2]各库区库存!$A:$B,2,0)</f>
        <v>#N/A</v>
      </c>
    </row>
    <row r="260" spans="1:8" s="1" customFormat="1">
      <c r="A260" s="1" t="s">
        <v>371</v>
      </c>
      <c r="B260" s="2" t="str">
        <f>VLOOKUP(A260,[1]备料总表!$B:$I,8,0)</f>
        <v>99-003288</v>
      </c>
      <c r="C260" s="3" t="str">
        <f>VLOOKUP(A260,[1]备料总表!$B:$I,2,0)</f>
        <v>Hi1620 4P服务器主板E-5250</v>
      </c>
      <c r="D260" s="1" t="str">
        <f>VLOOKUP(A260,[1]备料总表!$B:$I,4,0)</f>
        <v>主板</v>
      </c>
      <c r="E260" s="2" t="s">
        <v>67</v>
      </c>
      <c r="F260" s="4">
        <v>1</v>
      </c>
      <c r="G260" s="1" t="s">
        <v>68</v>
      </c>
      <c r="H260" s="3" t="e">
        <f>VLOOKUP(B260,[2]各库区库存!$A:$B,2,0)</f>
        <v>#N/A</v>
      </c>
    </row>
    <row r="261" spans="1:8" s="1" customFormat="1">
      <c r="A261" s="1" t="s">
        <v>373</v>
      </c>
      <c r="B261" s="2" t="str">
        <f>VLOOKUP(A261,[1]备料总表!$B:$I,8,0)</f>
        <v>99-003292</v>
      </c>
      <c r="C261" s="3" t="str">
        <f>VLOOKUP(A261,[1]备料总表!$B:$I,2,0)</f>
        <v>910_3模组</v>
      </c>
      <c r="D261" s="1" t="str">
        <f>VLOOKUP(A261,[1]备料总表!$B:$I,4,0)</f>
        <v>NPU模组</v>
      </c>
      <c r="E261" s="2" t="s">
        <v>65</v>
      </c>
      <c r="F261" s="4">
        <v>1</v>
      </c>
      <c r="G261" s="1" t="s">
        <v>66</v>
      </c>
      <c r="H261" s="3" t="e">
        <f>VLOOKUP(B261,[2]各库区库存!$A:$B,2,0)</f>
        <v>#N/A</v>
      </c>
    </row>
    <row r="262" spans="1:8" s="1" customFormat="1">
      <c r="A262" s="1" t="s">
        <v>373</v>
      </c>
      <c r="B262" s="2" t="str">
        <f>VLOOKUP(A262,[1]备料总表!$B:$I,8,0)</f>
        <v>99-003292</v>
      </c>
      <c r="C262" s="3" t="str">
        <f>VLOOKUP(A262,[1]备料总表!$B:$I,2,0)</f>
        <v>910_3模组</v>
      </c>
      <c r="D262" s="1" t="str">
        <f>VLOOKUP(A262,[1]备料总表!$B:$I,4,0)</f>
        <v>NPU模组</v>
      </c>
      <c r="E262" s="2" t="s">
        <v>67</v>
      </c>
      <c r="F262" s="4">
        <v>1</v>
      </c>
      <c r="G262" s="1" t="s">
        <v>68</v>
      </c>
      <c r="H262" s="3" t="e">
        <f>VLOOKUP(B262,[2]各库区库存!$A:$B,2,0)</f>
        <v>#N/A</v>
      </c>
    </row>
    <row r="263" spans="1:8" s="1" customFormat="1">
      <c r="A263" s="1" t="s">
        <v>374</v>
      </c>
      <c r="B263" s="2" t="str">
        <f>VLOOKUP(A263,[1]备料总表!$B:$I,8,0)</f>
        <v>99-003302</v>
      </c>
      <c r="C263" s="3" t="str">
        <f>VLOOKUP(A263,[1]备料总表!$B:$I,2,0)</f>
        <v>网卡HP382 2*25G-SFP28-PCIE 3.0 x8-无挡片</v>
      </c>
      <c r="D263" s="1" t="str">
        <f>VLOOKUP(A263,[1]备料总表!$B:$I,4,0)</f>
        <v>网卡</v>
      </c>
      <c r="E263" s="2" t="s">
        <v>22</v>
      </c>
      <c r="F263" s="4">
        <v>1</v>
      </c>
      <c r="G263" s="1" t="s">
        <v>375</v>
      </c>
      <c r="H263" s="3" t="e">
        <f>VLOOKUP(B263,[2]各库区库存!$A:$B,2,0)</f>
        <v>#N/A</v>
      </c>
    </row>
    <row r="264" spans="1:8" s="1" customFormat="1">
      <c r="A264" s="1" t="s">
        <v>376</v>
      </c>
      <c r="B264" s="2" t="str">
        <f>VLOOKUP(A264,[1]备料总表!$B:$I,8,0)</f>
        <v>99-003303</v>
      </c>
      <c r="C264" s="3" t="str">
        <f>VLOOKUP(A264,[1]备料总表!$B:$I,2,0)</f>
        <v>网卡HP380-2*25GE-SFP28-PCIE 3.0 x8-无模-无挡片</v>
      </c>
      <c r="D264" s="1" t="str">
        <f>VLOOKUP(A264,[1]备料总表!$B:$I,4,0)</f>
        <v>网卡</v>
      </c>
      <c r="E264" s="2" t="s">
        <v>293</v>
      </c>
      <c r="F264" s="4">
        <v>1</v>
      </c>
      <c r="G264" s="1" t="s">
        <v>377</v>
      </c>
      <c r="H264" s="3" t="e">
        <f>VLOOKUP(B264,[2]各库区库存!$A:$B,2,0)</f>
        <v>#N/A</v>
      </c>
    </row>
    <row r="265" spans="1:8" s="1" customFormat="1">
      <c r="A265" s="1" t="s">
        <v>378</v>
      </c>
      <c r="B265" s="2" t="str">
        <f>VLOOKUP(A265,[1]备料总表!$B:$I,8,0)</f>
        <v>99-003397</v>
      </c>
      <c r="C265" s="3" t="str">
        <f>VLOOKUP(A265,[1]备料总表!$B:$I,2,0)</f>
        <v>RAID标卡SP686C-16i-2GB-PCIe4.0x8-FHHL HW</v>
      </c>
      <c r="D265" s="1" t="str">
        <f>VLOOKUP(A265,[1]备料总表!$B:$I,4,0)</f>
        <v>RAID卡</v>
      </c>
      <c r="E265" s="2" t="s">
        <v>22</v>
      </c>
      <c r="F265" s="4">
        <v>1</v>
      </c>
      <c r="G265" s="1" t="s">
        <v>127</v>
      </c>
      <c r="H265" s="3" t="e">
        <f>VLOOKUP(B265,[2]各库区库存!$A:$B,2,0)</f>
        <v>#N/A</v>
      </c>
    </row>
    <row r="266" spans="1:8" s="1" customFormat="1">
      <c r="A266" s="1" t="s">
        <v>379</v>
      </c>
      <c r="B266" s="2" t="str">
        <f>VLOOKUP(A266,[1]备料总表!$B:$I,8,0)</f>
        <v>99-003731</v>
      </c>
      <c r="C266" s="3" t="str">
        <f>VLOOKUP(A266,[1]备料总表!$B:$I,2,0)</f>
        <v>S主板S920X20-2*7270Z(64C@2.9G)-AM</v>
      </c>
      <c r="D266" s="1" t="str">
        <f>VLOOKUP(A266,[1]备料总表!$B:$I,4,0)</f>
        <v>主板</v>
      </c>
      <c r="E266" s="2" t="s">
        <v>152</v>
      </c>
      <c r="F266" s="4">
        <v>1</v>
      </c>
      <c r="G266" s="2" t="s">
        <v>380</v>
      </c>
      <c r="H266" s="3" t="e">
        <f>VLOOKUP(B266,[2]各库区库存!$A:$B,2,0)</f>
        <v>#N/A</v>
      </c>
    </row>
    <row r="267" spans="1:8" s="1" customFormat="1">
      <c r="A267" s="1" t="s">
        <v>381</v>
      </c>
      <c r="B267" s="2" t="str">
        <f>VLOOKUP(A267,[1]备料总表!$B:$I,8,0)</f>
        <v>99-003770</v>
      </c>
      <c r="C267" s="3" t="str">
        <f>VLOOKUP(A267,[1]备料总表!$B:$I,2,0)</f>
        <v>高速板对板连接器模组-74-4*LP Slimeline 直式-4*UBC 直式-400mm&amp;500mm&amp;650mm&amp;700mm-0.16mm-10mm-16000MB/s-1.57mm-电缆安装型-预折线缆束-否</v>
      </c>
      <c r="D267" s="1" t="str">
        <f>VLOOKUP(A267,[1]备料总表!$B:$I,4,0)</f>
        <v>线缆</v>
      </c>
      <c r="E267" s="2" t="s">
        <v>86</v>
      </c>
      <c r="F267" s="4">
        <v>1</v>
      </c>
      <c r="G267" s="1" t="s">
        <v>87</v>
      </c>
      <c r="H267" s="3" t="e">
        <f>VLOOKUP(B267,[2]各库区库存!$A:$B,2,0)</f>
        <v>#N/A</v>
      </c>
    </row>
    <row r="268" spans="1:8" s="1" customFormat="1">
      <c r="A268" s="1" t="s">
        <v>381</v>
      </c>
      <c r="B268" s="2" t="str">
        <f>VLOOKUP(A268,[1]备料总表!$B:$I,8,0)</f>
        <v>99-003770</v>
      </c>
      <c r="C268" s="3" t="str">
        <f>VLOOKUP(A268,[1]备料总表!$B:$I,2,0)</f>
        <v>高速板对板连接器模组-74-4*LP Slimeline 直式-4*UBC 直式-400mm&amp;500mm&amp;650mm&amp;700mm-0.16mm-10mm-16000MB/s-1.57mm-电缆安装型-预折线缆束-否</v>
      </c>
      <c r="D268" s="1" t="str">
        <f>VLOOKUP(A268,[1]备料总表!$B:$I,4,0)</f>
        <v>线缆</v>
      </c>
      <c r="E268" s="2" t="s">
        <v>67</v>
      </c>
      <c r="F268" s="4">
        <v>1</v>
      </c>
      <c r="G268" s="1" t="s">
        <v>68</v>
      </c>
      <c r="H268" s="3" t="e">
        <f>VLOOKUP(B268,[2]各库区库存!$A:$B,2,0)</f>
        <v>#N/A</v>
      </c>
    </row>
    <row r="269" spans="1:8" s="1" customFormat="1">
      <c r="A269" s="1" t="s">
        <v>382</v>
      </c>
      <c r="B269" s="2" t="str">
        <f>VLOOKUP(A269,[1]备料总表!$B:$I,8,0)</f>
        <v>99-003771</v>
      </c>
      <c r="C269" s="3" t="str">
        <f>VLOOKUP(A269,[1]备料总表!$B:$I,2,0)</f>
        <v>高速板对板连接器模组-74-UBC 8X 弯式-UBC 8X 直式-400mm-0.16mm-10mm-32000MB/s-1.57mm-电缆安装型-否</v>
      </c>
      <c r="D269" s="1" t="str">
        <f>VLOOKUP(A269,[1]备料总表!$B:$I,4,0)</f>
        <v>线缆</v>
      </c>
      <c r="E269" s="2" t="s">
        <v>67</v>
      </c>
      <c r="F269" s="4">
        <v>1</v>
      </c>
      <c r="G269" s="1" t="s">
        <v>68</v>
      </c>
      <c r="H269" s="3" t="e">
        <f>VLOOKUP(B269,[2]各库区库存!$A:$B,2,0)</f>
        <v>#N/A</v>
      </c>
    </row>
    <row r="270" spans="1:8" s="1" customFormat="1">
      <c r="A270" s="1" t="s">
        <v>383</v>
      </c>
      <c r="B270" s="2" t="str">
        <f>VLOOKUP(A270,[1]备料总表!$B:$I,8,0)</f>
        <v>99-003774</v>
      </c>
      <c r="C270" s="3" t="str">
        <f>VLOOKUP(A270,[1]备料总表!$B:$I,2,0)</f>
        <v>高速电缆-内部高速线缆-0.99&amp;0.77&amp;0.94&amp;0.78m-2*(LP Slimline X8 RA)+(Slimline X8 STR)-6*(12*(1P*31AWG+2*Drain))-2*(LP Slimline X8 RA)+2*(SAS HD RA)-Atlas</v>
      </c>
      <c r="D270" s="1" t="str">
        <f>VLOOKUP(A270,[1]备料总表!$B:$I,4,0)</f>
        <v>线缆</v>
      </c>
      <c r="E270" s="2" t="s">
        <v>67</v>
      </c>
      <c r="F270" s="4">
        <v>1</v>
      </c>
      <c r="G270" s="1" t="s">
        <v>68</v>
      </c>
      <c r="H270" s="3" t="e">
        <f>VLOOKUP(B270,[2]各库区库存!$A:$B,2,0)</f>
        <v>#N/A</v>
      </c>
    </row>
    <row r="271" spans="1:8" s="1" customFormat="1">
      <c r="A271" s="1" t="s">
        <v>384</v>
      </c>
      <c r="B271" s="2" t="str">
        <f>VLOOKUP(A271,[1]备料总表!$B:$I,8,0)</f>
        <v>99-003775</v>
      </c>
      <c r="C271" s="3" t="str">
        <f>VLOOKUP(A271,[1]备料总表!$B:$I,2,0)</f>
        <v>高速板对板连接器模组-74-4*LP Slimline  直式-5*UBC  直式-300mm&amp;300mm&amp;400mm&amp;600mm-0.16mm-10mm-16000MB/s-1.57mm-电缆安装型-预折线缆束-否</v>
      </c>
      <c r="D271" s="1" t="str">
        <f>VLOOKUP(A271,[1]备料总表!$B:$I,4,0)</f>
        <v>线缆</v>
      </c>
      <c r="E271" s="2" t="s">
        <v>86</v>
      </c>
      <c r="F271" s="4">
        <v>1</v>
      </c>
      <c r="G271" s="1" t="s">
        <v>87</v>
      </c>
      <c r="H271" s="3" t="e">
        <f>VLOOKUP(B271,[2]各库区库存!$A:$B,2,0)</f>
        <v>#N/A</v>
      </c>
    </row>
    <row r="272" spans="1:8" s="1" customFormat="1">
      <c r="A272" s="1" t="s">
        <v>384</v>
      </c>
      <c r="B272" s="2" t="str">
        <f>VLOOKUP(A272,[1]备料总表!$B:$I,8,0)</f>
        <v>99-003775</v>
      </c>
      <c r="C272" s="3" t="str">
        <f>VLOOKUP(A272,[1]备料总表!$B:$I,2,0)</f>
        <v>高速板对板连接器模组-74-4*LP Slimline  直式-5*UBC  直式-300mm&amp;300mm&amp;400mm&amp;600mm-0.16mm-10mm-16000MB/s-1.57mm-电缆安装型-预折线缆束-否</v>
      </c>
      <c r="D272" s="1" t="str">
        <f>VLOOKUP(A272,[1]备料总表!$B:$I,4,0)</f>
        <v>线缆</v>
      </c>
      <c r="E272" s="2" t="s">
        <v>67</v>
      </c>
      <c r="F272" s="4">
        <v>1</v>
      </c>
      <c r="G272" s="1" t="s">
        <v>68</v>
      </c>
      <c r="H272" s="3" t="e">
        <f>VLOOKUP(B272,[2]各库区库存!$A:$B,2,0)</f>
        <v>#N/A</v>
      </c>
    </row>
    <row r="273" spans="1:8" s="1" customFormat="1">
      <c r="A273" s="1" t="s">
        <v>385</v>
      </c>
      <c r="B273" s="2" t="str">
        <f>VLOOKUP(A273,[1]备料总表!$B:$I,8,0)</f>
        <v>99-003776</v>
      </c>
      <c r="C273" s="3" t="str">
        <f>VLOOKUP(A273,[1]备料总表!$B:$I,2,0)</f>
        <v>高速板对板连接器模组-74-4*LP Slimeline 直式-4*UBC 直式-750mm&amp;750mm&amp;800mm&amp;900mm-0.16mm-10mm-16000MB/s-1.57mm-电缆安装型-预折线缆束-否</v>
      </c>
      <c r="D273" s="1" t="str">
        <f>VLOOKUP(A273,[1]备料总表!$B:$I,4,0)</f>
        <v>线缆</v>
      </c>
      <c r="E273" s="2" t="s">
        <v>86</v>
      </c>
      <c r="F273" s="4">
        <v>1</v>
      </c>
      <c r="G273" s="1" t="s">
        <v>87</v>
      </c>
      <c r="H273" s="3" t="e">
        <f>VLOOKUP(B273,[2]各库区库存!$A:$B,2,0)</f>
        <v>#N/A</v>
      </c>
    </row>
    <row r="274" spans="1:8" s="1" customFormat="1">
      <c r="A274" s="1" t="s">
        <v>385</v>
      </c>
      <c r="B274" s="2" t="str">
        <f>VLOOKUP(A274,[1]备料总表!$B:$I,8,0)</f>
        <v>99-003776</v>
      </c>
      <c r="C274" s="3" t="str">
        <f>VLOOKUP(A274,[1]备料总表!$B:$I,2,0)</f>
        <v>高速板对板连接器模组-74-4*LP Slimeline 直式-4*UBC 直式-750mm&amp;750mm&amp;800mm&amp;900mm-0.16mm-10mm-16000MB/s-1.57mm-电缆安装型-预折线缆束-否</v>
      </c>
      <c r="D274" s="1" t="str">
        <f>VLOOKUP(A274,[1]备料总表!$B:$I,4,0)</f>
        <v>线缆</v>
      </c>
      <c r="E274" s="2" t="s">
        <v>67</v>
      </c>
      <c r="F274" s="4">
        <v>1</v>
      </c>
      <c r="G274" s="1" t="s">
        <v>68</v>
      </c>
      <c r="H274" s="3" t="e">
        <f>VLOOKUP(B274,[2]各库区库存!$A:$B,2,0)</f>
        <v>#N/A</v>
      </c>
    </row>
    <row r="275" spans="1:8" s="1" customFormat="1">
      <c r="A275" s="1" t="s">
        <v>386</v>
      </c>
      <c r="B275" s="2" t="str">
        <f>VLOOKUP(A275,[1]备料总表!$B:$I,8,0)</f>
        <v>99-003777</v>
      </c>
      <c r="C275" s="3" t="str">
        <f>VLOOKUP(A275,[1]备料总表!$B:$I,2,0)</f>
        <v>高速板对板连接器模组-74-4*LP Slimline  直式-5*UBC  直式-300mm&amp;350mm&amp;450mm&amp;450mm-0.16mm-10mm-16000MB/s-1.57mm-电缆安装型-预折线缆束-否</v>
      </c>
      <c r="D275" s="1" t="str">
        <f>VLOOKUP(A275,[1]备料总表!$B:$I,4,0)</f>
        <v>线缆</v>
      </c>
      <c r="E275" s="2" t="s">
        <v>86</v>
      </c>
      <c r="F275" s="4">
        <v>1</v>
      </c>
      <c r="G275" s="1" t="s">
        <v>87</v>
      </c>
      <c r="H275" s="3" t="e">
        <f>VLOOKUP(B275,[2]各库区库存!$A:$B,2,0)</f>
        <v>#N/A</v>
      </c>
    </row>
    <row r="276" spans="1:8" s="1" customFormat="1">
      <c r="A276" s="1" t="s">
        <v>386</v>
      </c>
      <c r="B276" s="2" t="str">
        <f>VLOOKUP(A276,[1]备料总表!$B:$I,8,0)</f>
        <v>99-003777</v>
      </c>
      <c r="C276" s="3" t="str">
        <f>VLOOKUP(A276,[1]备料总表!$B:$I,2,0)</f>
        <v>高速板对板连接器模组-74-4*LP Slimline  直式-5*UBC  直式-300mm&amp;350mm&amp;450mm&amp;450mm-0.16mm-10mm-16000MB/s-1.57mm-电缆安装型-预折线缆束-否</v>
      </c>
      <c r="D276" s="1" t="str">
        <f>VLOOKUP(A276,[1]备料总表!$B:$I,4,0)</f>
        <v>线缆</v>
      </c>
      <c r="E276" s="2" t="s">
        <v>67</v>
      </c>
      <c r="F276" s="4">
        <v>1</v>
      </c>
      <c r="G276" s="1" t="s">
        <v>68</v>
      </c>
      <c r="H276" s="3" t="e">
        <f>VLOOKUP(B276,[2]各库区库存!$A:$B,2,0)</f>
        <v>#N/A</v>
      </c>
    </row>
    <row r="277" spans="1:8" s="1" customFormat="1">
      <c r="A277" s="2" t="s">
        <v>387</v>
      </c>
      <c r="B277" s="2" t="str">
        <f>VLOOKUP(A277,[1]备料总表!$B:$I,8,0)</f>
        <v>99-003875</v>
      </c>
      <c r="C277" s="3" t="str">
        <f>VLOOKUP(A277,[1]备料总表!$B:$I,2,0)</f>
        <v>NVMeSSD ES3600PV6-3.2TB-PCIe4-2.5读写HW1.1</v>
      </c>
      <c r="D277" s="1" t="str">
        <f>VLOOKUP(A277,[1]备料总表!$B:$I,4,0)</f>
        <v>硬盘</v>
      </c>
      <c r="E277" s="2" t="s">
        <v>83</v>
      </c>
      <c r="F277" s="4">
        <v>1</v>
      </c>
      <c r="G277" s="2" t="s">
        <v>388</v>
      </c>
      <c r="H277" s="3" t="e">
        <f>VLOOKUP(B277,[2]各库区库存!$A:$B,2,0)</f>
        <v>#N/A</v>
      </c>
    </row>
    <row r="278" spans="1:8" s="1" customFormat="1">
      <c r="A278" s="1" t="s">
        <v>389</v>
      </c>
      <c r="B278" s="2" t="str">
        <f>VLOOKUP(A278,[1]备料总表!$B:$I,8,0)</f>
        <v>99-004167</v>
      </c>
      <c r="C278" s="3" t="str">
        <f>VLOOKUP(A278,[1]备料总表!$B:$I,2,0)</f>
        <v>64GB显存_HCCS_910_B4_1-昇腾910 AI 风冷模组</v>
      </c>
      <c r="D278" s="1" t="str">
        <f>VLOOKUP(A278,[1]备料总表!$B:$I,4,0)</f>
        <v>NPU模组</v>
      </c>
      <c r="E278" s="2" t="s">
        <v>279</v>
      </c>
      <c r="F278" s="4">
        <v>1</v>
      </c>
      <c r="G278" s="1" t="s">
        <v>390</v>
      </c>
      <c r="H278" s="3" t="e">
        <f>VLOOKUP(B278,[2]各库区库存!$A:$B,2,0)</f>
        <v>#N/A</v>
      </c>
    </row>
    <row r="279" spans="1:8" s="1" customFormat="1">
      <c r="A279" s="1" t="s">
        <v>389</v>
      </c>
      <c r="B279" s="2" t="str">
        <f>VLOOKUP(A279,[1]备料总表!$B:$I,8,0)</f>
        <v>99-004167</v>
      </c>
      <c r="C279" s="3" t="str">
        <f>VLOOKUP(A279,[1]备料总表!$B:$I,2,0)</f>
        <v>64GB显存_HCCS_910_B4_1-昇腾910 AI 风冷模组</v>
      </c>
      <c r="D279" s="1" t="str">
        <f>VLOOKUP(A279,[1]备料总表!$B:$I,4,0)</f>
        <v>NPU模组</v>
      </c>
      <c r="E279" s="2" t="s">
        <v>65</v>
      </c>
      <c r="F279" s="4">
        <v>1</v>
      </c>
      <c r="G279" s="1" t="s">
        <v>66</v>
      </c>
      <c r="H279" s="3" t="e">
        <f>VLOOKUP(B279,[2]各库区库存!$A:$B,2,0)</f>
        <v>#N/A</v>
      </c>
    </row>
    <row r="280" spans="1:8" hidden="1">
      <c r="A280" t="s">
        <v>391</v>
      </c>
      <c r="B280" s="2" t="str">
        <f t="shared" ref="B280:B284" si="2">A280</f>
        <v>302-004082</v>
      </c>
      <c r="C280" s="13" t="s">
        <v>392</v>
      </c>
      <c r="D280" t="s">
        <v>393</v>
      </c>
      <c r="E280" s="14" t="s">
        <v>124</v>
      </c>
      <c r="F280" s="4">
        <v>1</v>
      </c>
      <c r="G280" s="1" t="s">
        <v>394</v>
      </c>
      <c r="H280" s="3" t="e">
        <f>VLOOKUP(B280,[2]各库区库存!$A:$B,2,0)</f>
        <v>#N/A</v>
      </c>
    </row>
    <row r="281" spans="1:8" s="1" customFormat="1" hidden="1">
      <c r="A281" s="1" t="s">
        <v>157</v>
      </c>
      <c r="B281" s="2" t="str">
        <f t="shared" si="2"/>
        <v>302-003754</v>
      </c>
      <c r="C281" s="3" t="s">
        <v>395</v>
      </c>
      <c r="D281" s="1" t="s">
        <v>393</v>
      </c>
      <c r="E281" s="2" t="s">
        <v>12</v>
      </c>
      <c r="F281" s="4">
        <v>1</v>
      </c>
      <c r="G281" s="1" t="s">
        <v>396</v>
      </c>
      <c r="H281" s="3" t="str">
        <f>VLOOKUP(B281,[2]各库区库存!$A:$B,2,0)</f>
        <v>302-003754</v>
      </c>
    </row>
    <row r="282" spans="1:8" s="1" customFormat="1" hidden="1">
      <c r="A282" s="1" t="s">
        <v>126</v>
      </c>
      <c r="B282" s="2" t="str">
        <f t="shared" si="2"/>
        <v>302-002898</v>
      </c>
      <c r="C282" s="3" t="s">
        <v>397</v>
      </c>
      <c r="D282" s="1" t="s">
        <v>398</v>
      </c>
      <c r="E282" s="2" t="s">
        <v>124</v>
      </c>
      <c r="F282" s="5">
        <v>1</v>
      </c>
      <c r="G282" s="1" t="s">
        <v>399</v>
      </c>
      <c r="H282" s="3" t="str">
        <f>VLOOKUP(B282,[2]各库区库存!$A:$B,2,0)</f>
        <v>302-002898</v>
      </c>
    </row>
    <row r="283" spans="1:8" hidden="1">
      <c r="A283" t="s">
        <v>400</v>
      </c>
      <c r="B283" s="2" t="str">
        <f t="shared" si="2"/>
        <v>302-004004</v>
      </c>
      <c r="C283" s="13" t="s">
        <v>401</v>
      </c>
      <c r="D283" t="s">
        <v>402</v>
      </c>
      <c r="E283" s="14" t="s">
        <v>185</v>
      </c>
      <c r="F283" s="4">
        <v>1</v>
      </c>
      <c r="G283" s="1" t="s">
        <v>403</v>
      </c>
      <c r="H283" s="3" t="e">
        <f>VLOOKUP(B283,[2]各库区库存!$A:$B,2,0)</f>
        <v>#N/A</v>
      </c>
    </row>
    <row r="284" spans="1:8" hidden="1">
      <c r="A284" t="s">
        <v>404</v>
      </c>
      <c r="B284" s="2" t="str">
        <f t="shared" si="2"/>
        <v>302-001555</v>
      </c>
      <c r="D284" t="s">
        <v>405</v>
      </c>
      <c r="E284" s="14" t="s">
        <v>86</v>
      </c>
      <c r="F284" s="4">
        <v>1</v>
      </c>
      <c r="G284" s="1" t="s">
        <v>406</v>
      </c>
      <c r="H284" s="3" t="str">
        <f>VLOOKUP(B284,[2]各库区库存!$A:$B,2,0)</f>
        <v>302-001555</v>
      </c>
    </row>
    <row r="285" spans="1:8">
      <c r="A285" t="s">
        <v>407</v>
      </c>
      <c r="B285" s="2" t="str">
        <f>VLOOKUP(A285,[1]备料总表!$B:$I,8,0)</f>
        <v>99-000686</v>
      </c>
      <c r="C285" s="13" t="s">
        <v>408</v>
      </c>
      <c r="D285" s="14" t="s">
        <v>409</v>
      </c>
      <c r="E285" s="14" t="s">
        <v>152</v>
      </c>
      <c r="F285" s="4">
        <v>1</v>
      </c>
      <c r="G285" s="14" t="s">
        <v>410</v>
      </c>
      <c r="H285" s="3" t="e">
        <f>VLOOKUP(B285,[2]各库区库存!$A:$B,2,0)</f>
        <v>#N/A</v>
      </c>
    </row>
    <row r="286" spans="1:8" hidden="1">
      <c r="A286" t="s">
        <v>411</v>
      </c>
      <c r="B286" s="2" t="str">
        <f t="shared" ref="B286:B288" si="3">A286</f>
        <v>302-000683</v>
      </c>
      <c r="C286" s="13" t="s">
        <v>412</v>
      </c>
      <c r="D286" t="s">
        <v>413</v>
      </c>
      <c r="E286" s="14" t="s">
        <v>152</v>
      </c>
      <c r="F286" s="4">
        <v>1</v>
      </c>
      <c r="G286" s="14" t="s">
        <v>410</v>
      </c>
      <c r="H286" s="3" t="str">
        <f>VLOOKUP(B286,[2]各库区库存!$A:$B,2,0)</f>
        <v>302-000683</v>
      </c>
    </row>
    <row r="287" spans="1:8" s="1" customFormat="1" hidden="1">
      <c r="A287" s="1" t="s">
        <v>126</v>
      </c>
      <c r="B287" s="2" t="str">
        <f t="shared" si="3"/>
        <v>302-002898</v>
      </c>
      <c r="C287" s="3" t="s">
        <v>414</v>
      </c>
      <c r="E287" s="2" t="s">
        <v>16</v>
      </c>
      <c r="F287" s="4">
        <v>1</v>
      </c>
      <c r="G287" s="2" t="s">
        <v>415</v>
      </c>
      <c r="H287" s="3" t="str">
        <f>VLOOKUP(B287,[2]各库区库存!$A:$B,2,0)</f>
        <v>302-002898</v>
      </c>
    </row>
    <row r="288" spans="1:8" hidden="1">
      <c r="A288" t="s">
        <v>416</v>
      </c>
      <c r="B288" s="2" t="str">
        <f t="shared" si="3"/>
        <v>302-002507</v>
      </c>
      <c r="C288" s="13" t="s">
        <v>417</v>
      </c>
      <c r="D288" t="s">
        <v>418</v>
      </c>
      <c r="E288" s="14" t="s">
        <v>12</v>
      </c>
      <c r="F288" s="4">
        <v>1</v>
      </c>
      <c r="G288" s="14" t="s">
        <v>419</v>
      </c>
      <c r="H288" s="3" t="str">
        <f>VLOOKUP(B288,[2]各库区库存!$A:$B,2,0)</f>
        <v>302-002507</v>
      </c>
    </row>
    <row r="289" spans="1:8">
      <c r="A289" t="s">
        <v>298</v>
      </c>
      <c r="B289" s="2" t="str">
        <f>VLOOKUP(A289,[1]备料总表!$B:$I,8,0)</f>
        <v>99-001802</v>
      </c>
      <c r="C289" s="13" t="s">
        <v>420</v>
      </c>
      <c r="D289" t="s">
        <v>421</v>
      </c>
      <c r="E289" s="14" t="s">
        <v>83</v>
      </c>
      <c r="F289" s="4">
        <v>1</v>
      </c>
      <c r="G289" s="1" t="s">
        <v>253</v>
      </c>
      <c r="H289" s="3" t="e">
        <f>VLOOKUP(B289,[2]各库区库存!$A:$B,2,0)</f>
        <v>#N/A</v>
      </c>
    </row>
    <row r="290" spans="1:8" hidden="1">
      <c r="A290" t="s">
        <v>422</v>
      </c>
      <c r="B290" s="2" t="str">
        <f>A290</f>
        <v>302-002096</v>
      </c>
      <c r="C290" s="13" t="s">
        <v>423</v>
      </c>
      <c r="D290" t="s">
        <v>424</v>
      </c>
      <c r="E290" s="14" t="s">
        <v>16</v>
      </c>
      <c r="F290" s="4">
        <v>1</v>
      </c>
      <c r="G290" s="1" t="s">
        <v>244</v>
      </c>
      <c r="H290" s="3" t="str">
        <f>VLOOKUP(B290,[2]各库区库存!$A:$B,2,0)</f>
        <v>302-002096</v>
      </c>
    </row>
    <row r="291" spans="1:8">
      <c r="A291" t="s">
        <v>425</v>
      </c>
      <c r="B291" s="2" t="str">
        <f>VLOOKUP(A291,[1]备料总表!$B:$I,8,0)</f>
        <v>99-002658</v>
      </c>
      <c r="C291" s="13" t="s">
        <v>426</v>
      </c>
      <c r="D291" t="s">
        <v>393</v>
      </c>
      <c r="E291" s="14" t="s">
        <v>19</v>
      </c>
      <c r="F291" s="4">
        <v>1</v>
      </c>
      <c r="G291" s="1" t="s">
        <v>427</v>
      </c>
      <c r="H291" s="3" t="e">
        <f>VLOOKUP(B291,[2]各库区库存!$A:$B,2,0)</f>
        <v>#N/A</v>
      </c>
    </row>
    <row r="292" spans="1:8">
      <c r="A292" t="s">
        <v>428</v>
      </c>
      <c r="B292" s="2" t="str">
        <f>VLOOKUP(A292,[1]备料总表!$B:$I,8,0)</f>
        <v>99-001549</v>
      </c>
      <c r="C292" s="13" t="s">
        <v>429</v>
      </c>
      <c r="D292" t="s">
        <v>430</v>
      </c>
      <c r="E292" s="14" t="s">
        <v>313</v>
      </c>
      <c r="F292" s="4">
        <v>1</v>
      </c>
      <c r="G292" s="1" t="s">
        <v>431</v>
      </c>
      <c r="H292" s="3" t="e">
        <f>VLOOKUP(B292,[2]各库区库存!$A:$B,2,0)</f>
        <v>#N/A</v>
      </c>
    </row>
    <row r="293" spans="1:8" s="1" customFormat="1" hidden="1">
      <c r="A293" s="1" t="s">
        <v>126</v>
      </c>
      <c r="B293" s="2" t="str">
        <f>A293</f>
        <v>302-002898</v>
      </c>
      <c r="C293" s="3" t="s">
        <v>414</v>
      </c>
      <c r="E293" s="2" t="s">
        <v>9</v>
      </c>
      <c r="F293" s="4">
        <v>1</v>
      </c>
      <c r="G293" s="2" t="s">
        <v>104</v>
      </c>
      <c r="H293" s="3" t="str">
        <f>VLOOKUP(B293,[2]各库区库存!$A:$B,2,0)</f>
        <v>302-002898</v>
      </c>
    </row>
    <row r="294" spans="1:8">
      <c r="A294" t="s">
        <v>432</v>
      </c>
      <c r="B294" s="2" t="str">
        <f>VLOOKUP(A294,[1]备料总表!$B:$I,8,0)</f>
        <v>99-003397</v>
      </c>
      <c r="C294" s="13" t="s">
        <v>433</v>
      </c>
      <c r="D294" t="s">
        <v>409</v>
      </c>
      <c r="E294" s="14" t="s">
        <v>9</v>
      </c>
      <c r="F294" s="4">
        <v>1</v>
      </c>
      <c r="G294" s="14" t="s">
        <v>104</v>
      </c>
      <c r="H294" s="3" t="e">
        <f>VLOOKUP(B294,[2]各库区库存!$A:$B,2,0)</f>
        <v>#N/A</v>
      </c>
    </row>
    <row r="295" spans="1:8" hidden="1">
      <c r="A295" t="s">
        <v>434</v>
      </c>
      <c r="B295" s="2" t="str">
        <f t="shared" ref="B295:B297" si="4">A295</f>
        <v>302-000250</v>
      </c>
      <c r="C295" s="13" t="s">
        <v>435</v>
      </c>
      <c r="D295" t="s">
        <v>436</v>
      </c>
      <c r="E295" s="14" t="s">
        <v>22</v>
      </c>
      <c r="F295" s="4">
        <v>1</v>
      </c>
      <c r="G295" s="1" t="s">
        <v>352</v>
      </c>
      <c r="H295" s="3" t="str">
        <f>VLOOKUP(B295,[2]各库区库存!$A:$B,2,0)</f>
        <v>302-000250</v>
      </c>
    </row>
    <row r="296" spans="1:8" hidden="1">
      <c r="A296" t="s">
        <v>57</v>
      </c>
      <c r="B296" s="2" t="str">
        <f t="shared" si="4"/>
        <v>302-001823</v>
      </c>
      <c r="C296" s="13" t="s">
        <v>437</v>
      </c>
      <c r="D296" t="s">
        <v>436</v>
      </c>
      <c r="E296" s="14" t="s">
        <v>99</v>
      </c>
      <c r="F296" s="4">
        <v>1</v>
      </c>
      <c r="G296" s="1" t="s">
        <v>438</v>
      </c>
      <c r="H296" s="3" t="str">
        <f>VLOOKUP(B296,[2]各库区库存!$A:$B,2,0)</f>
        <v>302-001823</v>
      </c>
    </row>
    <row r="297" spans="1:8" hidden="1">
      <c r="A297" t="s">
        <v>61</v>
      </c>
      <c r="B297" s="2" t="str">
        <f t="shared" si="4"/>
        <v>302-001828</v>
      </c>
      <c r="C297" s="13" t="s">
        <v>439</v>
      </c>
      <c r="D297" t="s">
        <v>436</v>
      </c>
      <c r="E297" s="14" t="s">
        <v>99</v>
      </c>
      <c r="F297" s="4">
        <v>1</v>
      </c>
      <c r="G297" s="1" t="s">
        <v>438</v>
      </c>
      <c r="H297" s="3" t="str">
        <f>VLOOKUP(B297,[2]各库区库存!$A:$B,2,0)</f>
        <v>302-001828</v>
      </c>
    </row>
    <row r="298" spans="1:8">
      <c r="A298" t="s">
        <v>363</v>
      </c>
      <c r="B298" s="2" t="str">
        <f>VLOOKUP(A298,[1]备料总表!$B:$I,8,0)</f>
        <v>99-002794</v>
      </c>
      <c r="C298" s="13" t="s">
        <v>440</v>
      </c>
      <c r="D298" t="s">
        <v>402</v>
      </c>
      <c r="E298" s="14" t="s">
        <v>99</v>
      </c>
      <c r="F298" s="4">
        <v>1</v>
      </c>
      <c r="G298" s="1" t="s">
        <v>207</v>
      </c>
      <c r="H298" s="3" t="e">
        <f>VLOOKUP(B298,[2]各库区库存!$A:$B,2,0)</f>
        <v>#N/A</v>
      </c>
    </row>
    <row r="299" spans="1:8" s="1" customFormat="1">
      <c r="A299" s="1" t="s">
        <v>441</v>
      </c>
      <c r="B299" s="2" t="str">
        <f>VLOOKUP(A299,[1]备料总表!$B:$I,8,0)</f>
        <v>99-003938</v>
      </c>
      <c r="C299" s="3" t="s">
        <v>442</v>
      </c>
      <c r="D299" s="1" t="s">
        <v>443</v>
      </c>
      <c r="E299" s="2" t="s">
        <v>146</v>
      </c>
      <c r="F299" s="5">
        <v>1</v>
      </c>
      <c r="G299" s="1" t="s">
        <v>444</v>
      </c>
      <c r="H299" s="3" t="e">
        <f>VLOOKUP(B299,[2]各库区库存!$A:$B,2,0)</f>
        <v>#N/A</v>
      </c>
    </row>
    <row r="300" spans="1:8" hidden="1">
      <c r="A300" t="s">
        <v>70</v>
      </c>
      <c r="B300" s="2" t="str">
        <f>A300</f>
        <v>302-002111</v>
      </c>
      <c r="C300" s="13" t="s">
        <v>445</v>
      </c>
      <c r="D300" t="s">
        <v>446</v>
      </c>
      <c r="E300" s="14" t="s">
        <v>22</v>
      </c>
      <c r="F300" s="4">
        <v>1</v>
      </c>
      <c r="G300" s="1" t="s">
        <v>352</v>
      </c>
      <c r="H300" s="3" t="str">
        <f>VLOOKUP(B300,[2]各库区库存!$A:$B,2,0)</f>
        <v>302-002111</v>
      </c>
    </row>
    <row r="301" spans="1:8" s="1" customFormat="1">
      <c r="A301" s="1" t="s">
        <v>441</v>
      </c>
      <c r="B301" s="2" t="str">
        <f>VLOOKUP(A301,[1]备料总表!$B:$I,8,0)</f>
        <v>99-003938</v>
      </c>
      <c r="C301" s="3" t="s">
        <v>442</v>
      </c>
      <c r="D301" s="1" t="s">
        <v>443</v>
      </c>
      <c r="E301" s="2" t="s">
        <v>65</v>
      </c>
      <c r="F301" s="4">
        <v>1</v>
      </c>
      <c r="G301" s="1" t="s">
        <v>447</v>
      </c>
      <c r="H301" s="3" t="e">
        <f>VLOOKUP(B301,[2]各库区库存!$A:$B,2,0)</f>
        <v>#N/A</v>
      </c>
    </row>
    <row r="302" spans="1:8" s="1" customFormat="1">
      <c r="A302" s="1" t="s">
        <v>441</v>
      </c>
      <c r="B302" s="2" t="str">
        <f>VLOOKUP(A302,[1]备料总表!$B:$I,8,0)</f>
        <v>99-003938</v>
      </c>
      <c r="C302" s="3" t="s">
        <v>442</v>
      </c>
      <c r="D302" s="1" t="s">
        <v>443</v>
      </c>
      <c r="E302" s="2" t="s">
        <v>99</v>
      </c>
      <c r="F302" s="4">
        <v>1</v>
      </c>
      <c r="G302" s="1" t="s">
        <v>448</v>
      </c>
      <c r="H302" s="3" t="e">
        <f>VLOOKUP(B302,[2]各库区库存!$A:$B,2,0)</f>
        <v>#N/A</v>
      </c>
    </row>
    <row r="303" spans="1:8" s="1" customFormat="1">
      <c r="A303" s="1" t="s">
        <v>441</v>
      </c>
      <c r="B303" s="2" t="str">
        <f>VLOOKUP(A303,[1]备料总表!$B:$I,8,0)</f>
        <v>99-003938</v>
      </c>
      <c r="C303" s="3" t="s">
        <v>442</v>
      </c>
      <c r="D303" s="1" t="s">
        <v>443</v>
      </c>
      <c r="E303" s="2" t="s">
        <v>29</v>
      </c>
      <c r="F303" s="5">
        <v>1</v>
      </c>
      <c r="G303" s="1" t="s">
        <v>449</v>
      </c>
      <c r="H303" s="3" t="e">
        <f>VLOOKUP(B303,[2]各库区库存!$A:$B,2,0)</f>
        <v>#N/A</v>
      </c>
    </row>
    <row r="304" spans="1:8" s="1" customFormat="1" hidden="1">
      <c r="A304" s="1" t="s">
        <v>450</v>
      </c>
      <c r="B304" s="2" t="str">
        <f t="shared" ref="B304:B315" si="5">A304</f>
        <v>302-002898</v>
      </c>
      <c r="C304" s="3" t="s">
        <v>397</v>
      </c>
      <c r="D304" s="1" t="s">
        <v>398</v>
      </c>
      <c r="E304" s="2" t="s">
        <v>323</v>
      </c>
      <c r="F304" s="6">
        <v>1</v>
      </c>
      <c r="G304" s="1" t="s">
        <v>451</v>
      </c>
      <c r="H304" s="3" t="str">
        <f>VLOOKUP(B304,[2]各库区库存!$A:$B,2,0)</f>
        <v>302-002898</v>
      </c>
    </row>
    <row r="305" spans="1:8" hidden="1">
      <c r="A305" t="s">
        <v>57</v>
      </c>
      <c r="B305" s="2" t="str">
        <f t="shared" si="5"/>
        <v>302-001823</v>
      </c>
      <c r="C305" s="13" t="s">
        <v>437</v>
      </c>
      <c r="D305" t="s">
        <v>436</v>
      </c>
      <c r="E305" s="14" t="s">
        <v>99</v>
      </c>
      <c r="F305" s="4">
        <v>1</v>
      </c>
      <c r="G305" s="1" t="s">
        <v>452</v>
      </c>
      <c r="H305" s="3" t="str">
        <f>VLOOKUP(B305,[2]各库区库存!$A:$B,2,0)</f>
        <v>302-001823</v>
      </c>
    </row>
    <row r="306" spans="1:8" hidden="1">
      <c r="A306" t="s">
        <v>59</v>
      </c>
      <c r="B306" s="2" t="str">
        <f t="shared" si="5"/>
        <v>302-001824</v>
      </c>
      <c r="C306" s="13" t="s">
        <v>453</v>
      </c>
      <c r="D306" t="s">
        <v>436</v>
      </c>
      <c r="E306" s="14" t="s">
        <v>99</v>
      </c>
      <c r="F306" s="4">
        <v>1</v>
      </c>
      <c r="G306" s="1" t="s">
        <v>452</v>
      </c>
      <c r="H306" s="3" t="str">
        <f>VLOOKUP(B306,[2]各库区库存!$A:$B,2,0)</f>
        <v>302-001824</v>
      </c>
    </row>
    <row r="307" spans="1:8" hidden="1">
      <c r="A307" t="s">
        <v>61</v>
      </c>
      <c r="B307" s="2" t="str">
        <f t="shared" si="5"/>
        <v>302-001828</v>
      </c>
      <c r="C307" s="13" t="s">
        <v>439</v>
      </c>
      <c r="D307" t="s">
        <v>436</v>
      </c>
      <c r="E307" s="14" t="s">
        <v>99</v>
      </c>
      <c r="F307" s="4">
        <v>1</v>
      </c>
      <c r="G307" s="1" t="s">
        <v>452</v>
      </c>
      <c r="H307" s="3" t="str">
        <f>VLOOKUP(B307,[2]各库区库存!$A:$B,2,0)</f>
        <v>302-001828</v>
      </c>
    </row>
    <row r="308" spans="1:8" hidden="1">
      <c r="A308" t="s">
        <v>454</v>
      </c>
      <c r="B308" s="2" t="str">
        <f t="shared" si="5"/>
        <v>302-001835</v>
      </c>
      <c r="C308" s="13" t="s">
        <v>455</v>
      </c>
      <c r="D308" t="s">
        <v>456</v>
      </c>
      <c r="E308" s="14" t="s">
        <v>99</v>
      </c>
      <c r="F308" s="4">
        <v>1</v>
      </c>
      <c r="G308" s="1" t="s">
        <v>457</v>
      </c>
      <c r="H308" s="3" t="str">
        <f>VLOOKUP(B308,[2]各库区库存!$A:$B,2,0)</f>
        <v>302-001835</v>
      </c>
    </row>
    <row r="309" spans="1:8" hidden="1">
      <c r="A309" t="s">
        <v>458</v>
      </c>
      <c r="B309" s="2" t="str">
        <f t="shared" si="5"/>
        <v>302-001836</v>
      </c>
      <c r="C309" s="13" t="s">
        <v>459</v>
      </c>
      <c r="D309" t="s">
        <v>456</v>
      </c>
      <c r="E309" s="14" t="s">
        <v>99</v>
      </c>
      <c r="F309" s="4">
        <v>1</v>
      </c>
      <c r="G309" s="1" t="s">
        <v>457</v>
      </c>
      <c r="H309" s="3" t="str">
        <f>VLOOKUP(B309,[2]各库区库存!$A:$B,2,0)</f>
        <v>302-001836</v>
      </c>
    </row>
    <row r="310" spans="1:8" hidden="1">
      <c r="A310" t="s">
        <v>161</v>
      </c>
      <c r="B310" s="2" t="str">
        <f t="shared" si="5"/>
        <v>302-004217</v>
      </c>
      <c r="C310" s="13" t="s">
        <v>460</v>
      </c>
      <c r="D310" t="s">
        <v>436</v>
      </c>
      <c r="E310" s="14" t="s">
        <v>99</v>
      </c>
      <c r="F310" s="4">
        <v>1</v>
      </c>
      <c r="G310" s="1" t="s">
        <v>452</v>
      </c>
      <c r="H310" s="3" t="str">
        <f>VLOOKUP(B310,[2]各库区库存!$A:$B,2,0)</f>
        <v>302-004217</v>
      </c>
    </row>
    <row r="311" spans="1:8" hidden="1">
      <c r="A311" t="s">
        <v>162</v>
      </c>
      <c r="B311" s="2" t="str">
        <f t="shared" si="5"/>
        <v>302-004218</v>
      </c>
      <c r="C311" s="13" t="s">
        <v>461</v>
      </c>
      <c r="D311" t="s">
        <v>436</v>
      </c>
      <c r="E311" s="14" t="s">
        <v>99</v>
      </c>
      <c r="F311" s="4">
        <v>1</v>
      </c>
      <c r="G311" s="1" t="s">
        <v>452</v>
      </c>
      <c r="H311" s="3" t="str">
        <f>VLOOKUP(B311,[2]各库区库存!$A:$B,2,0)</f>
        <v>302-004218</v>
      </c>
    </row>
    <row r="312" spans="1:8" hidden="1">
      <c r="A312" t="s">
        <v>167</v>
      </c>
      <c r="B312" s="2" t="str">
        <f t="shared" si="5"/>
        <v>302-004224</v>
      </c>
      <c r="C312" s="13" t="s">
        <v>461</v>
      </c>
      <c r="D312" t="s">
        <v>436</v>
      </c>
      <c r="E312" s="14" t="s">
        <v>99</v>
      </c>
      <c r="F312" s="4">
        <v>1</v>
      </c>
      <c r="G312" s="1" t="s">
        <v>452</v>
      </c>
      <c r="H312" s="3" t="str">
        <f>VLOOKUP(B312,[2]各库区库存!$A:$B,2,0)</f>
        <v>302-004224</v>
      </c>
    </row>
    <row r="313" spans="1:8" hidden="1">
      <c r="A313" t="s">
        <v>462</v>
      </c>
      <c r="B313" s="2" t="str">
        <f t="shared" si="5"/>
        <v>302-002409</v>
      </c>
      <c r="C313" s="13" t="s">
        <v>463</v>
      </c>
      <c r="D313" t="s">
        <v>464</v>
      </c>
      <c r="E313" s="14" t="s">
        <v>124</v>
      </c>
      <c r="F313" s="4">
        <v>1</v>
      </c>
      <c r="G313" s="1" t="s">
        <v>465</v>
      </c>
      <c r="H313" s="3" t="str">
        <f>VLOOKUP(B313,[2]各库区库存!$A:$B,2,0)</f>
        <v>302-002409</v>
      </c>
    </row>
    <row r="314" spans="1:8" hidden="1">
      <c r="A314" t="s">
        <v>466</v>
      </c>
      <c r="B314" s="2" t="str">
        <f t="shared" si="5"/>
        <v>302-003488</v>
      </c>
      <c r="C314" s="13" t="s">
        <v>467</v>
      </c>
      <c r="D314" t="s">
        <v>418</v>
      </c>
      <c r="E314" s="14" t="s">
        <v>124</v>
      </c>
      <c r="F314" s="4">
        <v>1</v>
      </c>
      <c r="G314" s="1" t="s">
        <v>468</v>
      </c>
      <c r="H314" s="3" t="str">
        <f>VLOOKUP(B314,[2]各库区库存!$A:$B,2,0)</f>
        <v>302-003488</v>
      </c>
    </row>
    <row r="315" spans="1:8" hidden="1">
      <c r="A315" t="s">
        <v>469</v>
      </c>
      <c r="B315" s="2" t="str">
        <f t="shared" si="5"/>
        <v>304-000701</v>
      </c>
      <c r="C315" s="13" t="s">
        <v>470</v>
      </c>
      <c r="D315" t="s">
        <v>471</v>
      </c>
      <c r="E315" s="14" t="s">
        <v>124</v>
      </c>
      <c r="F315" s="4">
        <v>1</v>
      </c>
      <c r="G315" s="1" t="s">
        <v>472</v>
      </c>
      <c r="H315" s="3" t="e">
        <f>VLOOKUP(B315,[2]各库区库存!$A:$B,2,0)</f>
        <v>#N/A</v>
      </c>
    </row>
    <row r="316" spans="1:8">
      <c r="A316" t="s">
        <v>473</v>
      </c>
      <c r="B316" s="2" t="str">
        <f>VLOOKUP(A316,[1]备料总表!$B:$I,8,0)</f>
        <v>99-000333</v>
      </c>
      <c r="C316" s="13" t="s">
        <v>474</v>
      </c>
      <c r="D316" t="s">
        <v>409</v>
      </c>
      <c r="E316" s="14" t="s">
        <v>83</v>
      </c>
      <c r="F316" s="4">
        <v>1</v>
      </c>
      <c r="G316" s="1" t="s">
        <v>475</v>
      </c>
      <c r="H316" s="3" t="e">
        <f>VLOOKUP(B316,[2]各库区库存!$A:$B,2,0)</f>
        <v>#N/A</v>
      </c>
    </row>
    <row r="317" spans="1:8" s="1" customFormat="1">
      <c r="A317" s="1" t="s">
        <v>441</v>
      </c>
      <c r="B317" s="2" t="str">
        <f>VLOOKUP(A317,[1]备料总表!$B:$I,8,0)</f>
        <v>99-003938</v>
      </c>
      <c r="C317" s="3" t="s">
        <v>442</v>
      </c>
      <c r="D317" s="1" t="s">
        <v>443</v>
      </c>
      <c r="E317" s="2" t="s">
        <v>12</v>
      </c>
      <c r="F317" s="4">
        <v>1</v>
      </c>
      <c r="G317" s="1" t="s">
        <v>476</v>
      </c>
      <c r="H317" s="3" t="e">
        <f>VLOOKUP(B317,[2]各库区库存!$A:$B,2,0)</f>
        <v>#N/A</v>
      </c>
    </row>
    <row r="318" spans="1:8" s="1" customFormat="1">
      <c r="A318" s="1" t="s">
        <v>441</v>
      </c>
      <c r="B318" s="2" t="str">
        <f>VLOOKUP(A318,[1]备料总表!$B:$I,8,0)</f>
        <v>99-003938</v>
      </c>
      <c r="C318" s="3" t="s">
        <v>442</v>
      </c>
      <c r="D318" s="1" t="s">
        <v>443</v>
      </c>
      <c r="E318" s="2" t="s">
        <v>121</v>
      </c>
      <c r="F318" s="4">
        <v>1</v>
      </c>
      <c r="G318" s="1" t="s">
        <v>477</v>
      </c>
      <c r="H318" s="3" t="e">
        <f>VLOOKUP(B318,[2]各库区库存!$A:$B,2,0)</f>
        <v>#N/A</v>
      </c>
    </row>
    <row r="319" spans="1:8">
      <c r="A319" t="s">
        <v>315</v>
      </c>
      <c r="B319" s="14" t="s">
        <v>478</v>
      </c>
      <c r="C319" s="13" t="s">
        <v>479</v>
      </c>
      <c r="D319" t="s">
        <v>402</v>
      </c>
      <c r="E319" s="14" t="s">
        <v>124</v>
      </c>
      <c r="F319" s="4">
        <v>1</v>
      </c>
      <c r="G319" t="s">
        <v>480</v>
      </c>
      <c r="H319" s="13">
        <v>0</v>
      </c>
    </row>
  </sheetData>
  <autoFilter ref="A1:I319" xr:uid="{9C863A35-86F8-41E0-9080-BEB3B0A35E13}">
    <filterColumn colId="1">
      <filters>
        <filter val="99-000139"/>
        <filter val="99-000144"/>
        <filter val="99-000146"/>
        <filter val="99-000333"/>
        <filter val="99-000413"/>
        <filter val="99-000419"/>
        <filter val="99-000426"/>
        <filter val="99-000446"/>
        <filter val="99-000662"/>
        <filter val="99-000686"/>
        <filter val="99-000704"/>
        <filter val="99-000706"/>
        <filter val="99-000707"/>
        <filter val="99-000708"/>
        <filter val="99-000710"/>
        <filter val="99-000711"/>
        <filter val="99-000712"/>
        <filter val="99-000755"/>
        <filter val="99-001003"/>
        <filter val="99-001004"/>
        <filter val="99-001019"/>
        <filter val="99-001020"/>
        <filter val="99-001286"/>
        <filter val="99-001287"/>
        <filter val="99-001291"/>
        <filter val="99-001369"/>
        <filter val="99-001549"/>
        <filter val="99-001626"/>
        <filter val="99-001770"/>
        <filter val="99-001778"/>
        <filter val="99-001802"/>
        <filter val="99-001842"/>
        <filter val="99-001875"/>
        <filter val="99-001877"/>
        <filter val="99-001882"/>
        <filter val="99-001893"/>
        <filter val="99-001894"/>
        <filter val="99-001915"/>
        <filter val="99-001977"/>
        <filter val="99-002079"/>
        <filter val="99-002084"/>
        <filter val="99-002086"/>
        <filter val="99-002104"/>
        <filter val="99-002432"/>
        <filter val="99-002442"/>
        <filter val="99-002547"/>
        <filter val="99-002632"/>
        <filter val="99-002652"/>
        <filter val="99-002658"/>
        <filter val="99-002745"/>
        <filter val="99-002794"/>
        <filter val="99-003021"/>
        <filter val="99-003024"/>
        <filter val="99-003042"/>
        <filter val="99-003288"/>
        <filter val="99-003292"/>
        <filter val="99-003302"/>
        <filter val="99-003303"/>
        <filter val="99-003397"/>
        <filter val="99-003731"/>
        <filter val="99-003770"/>
        <filter val="99-003771"/>
        <filter val="99-003774"/>
        <filter val="99-003775"/>
        <filter val="99-003776"/>
        <filter val="99-003777"/>
        <filter val="99-003875"/>
        <filter val="99-003938"/>
        <filter val="99-004167"/>
      </filters>
    </filterColumn>
  </autoFilter>
  <phoneticPr fontId="2" type="noConversion"/>
  <conditionalFormatting sqref="E182:E190">
    <cfRule type="duplicateValues" dxfId="1" priority="2"/>
  </conditionalFormatting>
  <conditionalFormatting sqref="E183:E1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需求1欠料调拨</vt:lpstr>
      <vt:lpstr>需求2本地库存查询优化</vt:lpstr>
      <vt:lpstr>截止目前未发货2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李美丽</dc:creator>
  <cp:lastModifiedBy>美丽 李</cp:lastModifiedBy>
  <dcterms:created xsi:type="dcterms:W3CDTF">2015-06-05T18:19:34Z</dcterms:created>
  <dcterms:modified xsi:type="dcterms:W3CDTF">2025-10-14T03:50:59Z</dcterms:modified>
</cp:coreProperties>
</file>
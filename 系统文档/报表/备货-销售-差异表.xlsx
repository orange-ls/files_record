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7263476-45AD-4CD1-A246-D911AA947C92}" xr6:coauthVersionLast="47" xr6:coauthVersionMax="47" xr10:uidLastSave="{00000000-0000-0000-0000-000000000000}"/>
  <bookViews>
    <workbookView xWindow="-110" yWindow="-110" windowWidth="19420" windowHeight="10420" tabRatio="771" firstSheet="4" activeTab="7" xr2:uid="{00000000-000D-0000-FFFF-FFFF00000000}"/>
  </bookViews>
  <sheets>
    <sheet name="说明" sheetId="14" r:id="rId1"/>
    <sheet name="表1-1 备货配置BOM" sheetId="1" r:id="rId2"/>
    <sheet name="表1-2 备货物料汇总" sheetId="8" r:id="rId3"/>
    <sheet name="表2-1 销售订单明细" sheetId="2" r:id="rId4"/>
    <sheet name="表2-2 销售订单明细物料汇总" sheetId="9" r:id="rId5"/>
    <sheet name="表2-3 产品BOM" sheetId="3" r:id="rId6"/>
    <sheet name="表2-4 销售物料汇总" sheetId="10" r:id="rId7"/>
    <sheet name="表3-1 备货-销售差异汇总" sheetId="13" r:id="rId8"/>
  </sheets>
  <definedNames>
    <definedName name="_xlnm._FilterDatabase" localSheetId="7" hidden="1">'表3-1 备货-销售差异汇总'!$A$1:$E$56</definedName>
  </definedNames>
  <calcPr calcId="191029"/>
  <pivotCaches>
    <pivotCache cacheId="0" r:id="rId9"/>
    <pivotCache cacheId="1" r:id="rId10"/>
    <pivotCache cacheId="2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3" l="1"/>
  <c r="E12" i="13"/>
  <c r="E13" i="13"/>
  <c r="E19" i="13"/>
  <c r="E23" i="13"/>
  <c r="E28" i="13"/>
  <c r="E31" i="13"/>
  <c r="E39" i="13"/>
  <c r="E44" i="13"/>
  <c r="E45" i="13"/>
  <c r="E46" i="13"/>
  <c r="E55" i="13"/>
  <c r="D3" i="13"/>
  <c r="E3" i="13" s="1"/>
  <c r="D4" i="13"/>
  <c r="D5" i="13"/>
  <c r="E5" i="13" s="1"/>
  <c r="D6" i="13"/>
  <c r="D7" i="13"/>
  <c r="D8" i="13"/>
  <c r="E8" i="13" s="1"/>
  <c r="D9" i="13"/>
  <c r="D10" i="13"/>
  <c r="D15" i="13"/>
  <c r="D16" i="13"/>
  <c r="D17" i="13"/>
  <c r="D18" i="13"/>
  <c r="E18" i="13" s="1"/>
  <c r="D19" i="13"/>
  <c r="D20" i="13"/>
  <c r="E20" i="13" s="1"/>
  <c r="D21" i="13"/>
  <c r="E21" i="13" s="1"/>
  <c r="D22" i="13"/>
  <c r="D23" i="13"/>
  <c r="D25" i="13"/>
  <c r="E25" i="13" s="1"/>
  <c r="D27" i="13"/>
  <c r="E27" i="13" s="1"/>
  <c r="D29" i="13"/>
  <c r="E29" i="13" s="1"/>
  <c r="D32" i="13"/>
  <c r="D33" i="13"/>
  <c r="D35" i="13"/>
  <c r="E35" i="13" s="1"/>
  <c r="D39" i="13"/>
  <c r="D41" i="13"/>
  <c r="E41" i="13" s="1"/>
  <c r="D42" i="13"/>
  <c r="E42" i="13" s="1"/>
  <c r="D43" i="13"/>
  <c r="E43" i="13" s="1"/>
  <c r="D44" i="13"/>
  <c r="D45" i="13"/>
  <c r="D46" i="13"/>
  <c r="D48" i="13"/>
  <c r="E48" i="13" s="1"/>
  <c r="D49" i="13"/>
  <c r="D50" i="13"/>
  <c r="E50" i="13" s="1"/>
  <c r="D51" i="13"/>
  <c r="E51" i="13" s="1"/>
  <c r="D52" i="13"/>
  <c r="E52" i="13" s="1"/>
  <c r="D53" i="13"/>
  <c r="D54" i="13"/>
  <c r="E54" i="13" s="1"/>
  <c r="D55" i="13"/>
  <c r="D56" i="13"/>
  <c r="E56" i="13" s="1"/>
  <c r="D2" i="13"/>
  <c r="E2" i="13" s="1"/>
  <c r="B56" i="13"/>
  <c r="B54" i="13"/>
  <c r="B52" i="13"/>
  <c r="B51" i="13"/>
  <c r="B50" i="13"/>
  <c r="B48" i="13"/>
  <c r="B46" i="13"/>
  <c r="B45" i="13"/>
  <c r="B44" i="13"/>
  <c r="B43" i="13"/>
  <c r="B42" i="13"/>
  <c r="B41" i="13"/>
  <c r="B39" i="13"/>
  <c r="B27" i="13"/>
  <c r="B25" i="13"/>
  <c r="B23" i="13"/>
  <c r="B21" i="13"/>
  <c r="B20" i="13"/>
  <c r="B19" i="13"/>
  <c r="B18" i="13"/>
  <c r="B8" i="13"/>
  <c r="B5" i="13"/>
  <c r="B3" i="13"/>
  <c r="B2" i="13"/>
  <c r="C55" i="13"/>
  <c r="C53" i="13"/>
  <c r="E53" i="13" s="1"/>
  <c r="C49" i="13"/>
  <c r="E49" i="13" s="1"/>
  <c r="C47" i="13"/>
  <c r="E47" i="13" s="1"/>
  <c r="C40" i="13"/>
  <c r="E40" i="13" s="1"/>
  <c r="C38" i="13"/>
  <c r="E38" i="13" s="1"/>
  <c r="C37" i="13"/>
  <c r="E37" i="13" s="1"/>
  <c r="C36" i="13"/>
  <c r="E36" i="13" s="1"/>
  <c r="C35" i="13"/>
  <c r="C34" i="13"/>
  <c r="E34" i="13" s="1"/>
  <c r="C33" i="13"/>
  <c r="E33" i="13" s="1"/>
  <c r="C32" i="13"/>
  <c r="E32" i="13" s="1"/>
  <c r="C31" i="13"/>
  <c r="C30" i="13"/>
  <c r="E30" i="13" s="1"/>
  <c r="C29" i="13"/>
  <c r="C28" i="13"/>
  <c r="C26" i="13"/>
  <c r="E26" i="13" s="1"/>
  <c r="C24" i="13"/>
  <c r="E24" i="13" s="1"/>
  <c r="C22" i="13"/>
  <c r="E22" i="13" s="1"/>
  <c r="C17" i="13"/>
  <c r="E17" i="13" s="1"/>
  <c r="C16" i="13"/>
  <c r="E16" i="13" s="1"/>
  <c r="C15" i="13"/>
  <c r="E15" i="13" s="1"/>
  <c r="C14" i="13"/>
  <c r="E14" i="13" s="1"/>
  <c r="C13" i="13"/>
  <c r="C12" i="13"/>
  <c r="C11" i="13"/>
  <c r="E11" i="13" s="1"/>
  <c r="C10" i="13"/>
  <c r="E10" i="13" s="1"/>
  <c r="C9" i="13"/>
  <c r="E9" i="13" s="1"/>
  <c r="C7" i="13"/>
  <c r="C6" i="13"/>
  <c r="E6" i="13" s="1"/>
  <c r="C4" i="13"/>
  <c r="E4" i="13" s="1"/>
  <c r="B4" i="13"/>
  <c r="B6" i="13"/>
  <c r="B7" i="13"/>
  <c r="B9" i="13"/>
  <c r="B10" i="13"/>
  <c r="B11" i="13"/>
  <c r="B12" i="13"/>
  <c r="B13" i="13"/>
  <c r="B14" i="13"/>
  <c r="B15" i="13"/>
  <c r="B16" i="13"/>
  <c r="B17" i="13"/>
  <c r="B22" i="13"/>
  <c r="B24" i="13"/>
  <c r="B26" i="13"/>
  <c r="B28" i="13"/>
  <c r="B29" i="13"/>
  <c r="B30" i="13"/>
  <c r="B31" i="13"/>
  <c r="B32" i="13"/>
  <c r="B33" i="13"/>
  <c r="B34" i="13"/>
  <c r="B35" i="13"/>
  <c r="B36" i="13"/>
  <c r="B37" i="13"/>
  <c r="B38" i="13"/>
  <c r="B40" i="13"/>
  <c r="B47" i="13"/>
  <c r="B49" i="13"/>
  <c r="B53" i="13"/>
  <c r="B55" i="1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93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69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48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27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3" i="3"/>
</calcChain>
</file>

<file path=xl/sharedStrings.xml><?xml version="1.0" encoding="utf-8"?>
<sst xmlns="http://schemas.openxmlformats.org/spreadsheetml/2006/main" count="807" uniqueCount="164">
  <si>
    <t>物料类别</t>
  </si>
  <si>
    <t>产品名称</t>
  </si>
  <si>
    <t>料号</t>
  </si>
  <si>
    <t>描述</t>
  </si>
  <si>
    <t>基础物料</t>
  </si>
  <si>
    <t>整机</t>
  </si>
  <si>
    <t>A924A2典配L6-4*920 2.6G 8*910_4_1 2Nvme 64G</t>
  </si>
  <si>
    <t>华为采</t>
  </si>
  <si>
    <t>不指定物料</t>
  </si>
  <si>
    <t>02315HQP-70B_48C@2.6GHz_DS一体机底座</t>
  </si>
  <si>
    <t>外采</t>
  </si>
  <si>
    <t>内存</t>
  </si>
  <si>
    <t>S内存DDR4-32G-3200-2Rx4-RD HLS V1.0</t>
  </si>
  <si>
    <t>硬盘</t>
  </si>
  <si>
    <t>SSD ES3521AV6-960G-SATA-2.5读取HW+2.5托 侧孔</t>
  </si>
  <si>
    <t>SSD ES3521AV6-1.92T-SATA-6G-2.5读取HW侧孔1.0</t>
  </si>
  <si>
    <t>RAID卡</t>
  </si>
  <si>
    <t>RAID标卡9560-8i-4G PCIe4.0x8 NMP-HW</t>
  </si>
  <si>
    <t>光模块和线缆</t>
  </si>
  <si>
    <t>SAS线-RAID卡专用1分2 mini SAS-1.0m&amp;0.9m</t>
  </si>
  <si>
    <t>3508/3516 RAID卡超级电容</t>
  </si>
  <si>
    <t>网卡</t>
  </si>
  <si>
    <t>灵活网卡2*200G接口卡-QSFP56</t>
  </si>
  <si>
    <t>网卡HP382 25G双口SFP28(Mellanox CX-5) Lx无光模块-全高</t>
  </si>
  <si>
    <t>光模块-SFP+-10G-多模(850nm,0.3km,LC)-HX</t>
  </si>
  <si>
    <t>光模块-SFP28-25G-多模(850nm,0.1km,LC)-HX</t>
  </si>
  <si>
    <t>昇腾</t>
  </si>
  <si>
    <t>光模块-200G-QSFP56-多模-850nm-300m-TRC</t>
  </si>
  <si>
    <t>辅助料信息</t>
  </si>
  <si>
    <t>标签包装</t>
  </si>
  <si>
    <t>KunTai A924 服务器标准标签包装</t>
  </si>
  <si>
    <t>BMC BIOS</t>
  </si>
  <si>
    <t>A924推理典配BIOS/BMC固件包</t>
  </si>
  <si>
    <t>机箱</t>
  </si>
  <si>
    <t>机箱2U2P-12*3.5EXP-S920S00</t>
  </si>
  <si>
    <t>主板</t>
  </si>
  <si>
    <t>S主板S920S00-2*5220(32C@2.6)-AJ-VE-1711</t>
  </si>
  <si>
    <t>RISER卡</t>
  </si>
  <si>
    <t>3*16X SLOT (PCIE X8) Riser1&amp;2 模组</t>
  </si>
  <si>
    <t>S硬盘1.2T-2.5SAS-12G10K-128M-DZ V1.1</t>
  </si>
  <si>
    <t>RAID标卡-2GB 9460-8i-PCIe</t>
  </si>
  <si>
    <t>高速电缆 Mini SAS HCable-0.85m</t>
  </si>
  <si>
    <t>TM210板载灵活网卡4*1GE-RJ45</t>
  </si>
  <si>
    <t>网卡 MCX4121A-ACUT 25G双口SFP28</t>
  </si>
  <si>
    <t>2U静态滑轨套件</t>
  </si>
  <si>
    <t>服务器PAC900S12-B3 900W 3.0 版本交流电源</t>
  </si>
  <si>
    <t>电源和电源线</t>
  </si>
  <si>
    <t>S电源线PDU国标-C14直公-C13直母-250V10A-1.5m黑-交流</t>
  </si>
  <si>
    <t>KunTai R722 服务器标准标签包装</t>
  </si>
  <si>
    <t>鲲鹏</t>
  </si>
  <si>
    <t>S920S00？VE主板 BIOS 1711BMC  CPLD</t>
  </si>
  <si>
    <t>服务类信息</t>
  </si>
  <si>
    <t>鲲泰服务器维保服务</t>
  </si>
  <si>
    <t>鲲泰服务器维保服务：金牌+服务包-2U-5年,7*24*4H</t>
  </si>
  <si>
    <t>硬盘介质保留服务</t>
  </si>
  <si>
    <t>鲲泰服务器硬盘介质保留-2U-5年</t>
  </si>
  <si>
    <t>整机安装服务</t>
  </si>
  <si>
    <t>鲲泰服务器基础硬件安装服务-2U</t>
  </si>
  <si>
    <t>305-000160</t>
  </si>
  <si>
    <t>A924 DS</t>
  </si>
  <si>
    <t>305-000029</t>
    <phoneticPr fontId="1" type="noConversion"/>
  </si>
  <si>
    <t>R722</t>
  </si>
  <si>
    <t>R722</t>
    <phoneticPr fontId="1" type="noConversion"/>
  </si>
  <si>
    <t>销售订单号</t>
    <phoneticPr fontId="1" type="noConversion"/>
  </si>
  <si>
    <t>销售订单行项目</t>
    <phoneticPr fontId="1" type="noConversion"/>
  </si>
  <si>
    <t>交货单号</t>
    <phoneticPr fontId="1" type="noConversion"/>
  </si>
  <si>
    <t>交货单行项目</t>
    <phoneticPr fontId="1" type="noConversion"/>
  </si>
  <si>
    <t>0015844780</t>
  </si>
  <si>
    <t>000030</t>
  </si>
  <si>
    <t>0015844779</t>
  </si>
  <si>
    <t>000040</t>
  </si>
  <si>
    <t>0814967635</t>
  </si>
  <si>
    <t>000020</t>
  </si>
  <si>
    <t>000010</t>
  </si>
  <si>
    <t>000050</t>
  </si>
  <si>
    <t>0814967636</t>
  </si>
  <si>
    <t>物料代码</t>
    <phoneticPr fontId="1" type="noConversion"/>
  </si>
  <si>
    <t>物料名称</t>
    <phoneticPr fontId="1" type="noConversion"/>
  </si>
  <si>
    <t>000000000082000002</t>
  </si>
  <si>
    <t>000000000306010455</t>
  </si>
  <si>
    <t>000000000306010454</t>
  </si>
  <si>
    <t>000000000306010453</t>
  </si>
  <si>
    <t>000000000306010452</t>
  </si>
  <si>
    <t>000000000306010451</t>
  </si>
  <si>
    <t>价外费用</t>
  </si>
  <si>
    <t>KunTai R722 服务器</t>
  </si>
  <si>
    <t>KunTai A924 DS 服务器</t>
  </si>
  <si>
    <t>数量</t>
    <phoneticPr fontId="1" type="noConversion"/>
  </si>
  <si>
    <t>MTMU</t>
  </si>
  <si>
    <t>L</t>
  </si>
  <si>
    <t>N</t>
  </si>
  <si>
    <t>S机箱-12*3.5SATA/SAS-EXP R522散件</t>
  </si>
  <si>
    <t>3*16X SLOT (PCIe X8)RISER1/2</t>
  </si>
  <si>
    <t>S内存DDR4-32G-3200-2Rx8-HLS</t>
  </si>
  <si>
    <t>Raid卡电池盒-21203767-001_draen.prt</t>
  </si>
  <si>
    <t>3508/3516 RAID卡超级电容(不含电池盒)</t>
  </si>
  <si>
    <t>SSD ES3521AV6-1.92T-SATA-6G-2.5读取HW 侧底孔</t>
  </si>
  <si>
    <t>S硬盘1.2T-2.5SAS-12G10K-128M-XJ V1.0</t>
  </si>
  <si>
    <t>高速电缆 Mini SAS HD Cable-0.85m</t>
  </si>
  <si>
    <t>RAID标卡9460-8i-2G-PCIe3.0x8 Cache</t>
  </si>
  <si>
    <t>网卡 MCX4121A-ACUT 2*25G SFP28-无模</t>
  </si>
  <si>
    <t>光模块-25G-SFP28-多模-850nm-0.3km-LC-TRC</t>
  </si>
  <si>
    <t>光模块-10G-SFP28-多模-850nm-0.3km-LC-COB-TRC</t>
  </si>
  <si>
    <t>KunTai R722成套包材</t>
  </si>
  <si>
    <t>S电源900W-交流220V-PAC900S12-B3 02314PDL</t>
  </si>
  <si>
    <t>移动定制-raid1</t>
  </si>
  <si>
    <t>S920S00 VE主板 BIOS 1711BMC  CPLD</t>
  </si>
  <si>
    <t>3.5英寸假硬盘托架</t>
  </si>
  <si>
    <t>2.5转3.5英寸硬盘托架组合</t>
  </si>
  <si>
    <t>PCIe全高挡片-钣金-21122419</t>
  </si>
  <si>
    <t>工厂代码</t>
    <phoneticPr fontId="1" type="noConversion"/>
  </si>
  <si>
    <t>项目类别</t>
    <phoneticPr fontId="1" type="noConversion"/>
  </si>
  <si>
    <t>BOM项目号</t>
    <phoneticPr fontId="1" type="noConversion"/>
  </si>
  <si>
    <t>BOM组件代码</t>
    <phoneticPr fontId="1" type="noConversion"/>
  </si>
  <si>
    <t>BOM组件名称</t>
    <phoneticPr fontId="1" type="noConversion"/>
  </si>
  <si>
    <t>组件数量</t>
    <phoneticPr fontId="1" type="noConversion"/>
  </si>
  <si>
    <t>神码客制化2.5英寸硬盘托架组合</t>
  </si>
  <si>
    <t>M.2 螺钉 M3*4 渡彩锌</t>
  </si>
  <si>
    <t>A924典配L6-4*920 2.6G 8*910_4_1 2Nvme 64G</t>
  </si>
  <si>
    <t>SSD ES3521A V7-1.92T-SATA-2.5-读取 HW V1.0</t>
  </si>
  <si>
    <t>SSD ES3521AV6-960G-SATA-6G-2.5读取HW侧孔1.0</t>
  </si>
  <si>
    <t>RAID标卡9560-8i-4G-PCIe4.0x8 HW NMP</t>
  </si>
  <si>
    <t>SAS线-Mini SAS to 2*Mini SAS-1.0m&amp;0.9m HW</t>
  </si>
  <si>
    <t>网卡HP382 2*25G-SFP28-PCIE 3.0 x8-无挡片</t>
  </si>
  <si>
    <t>SF216D-H板载灵活网卡-200GE-2端口-QSFP56 V2.0</t>
  </si>
  <si>
    <t>网卡HP382 25G双口SFP28(CX-5) Lx无光模块-全高</t>
  </si>
  <si>
    <t>382半高网卡挡片</t>
  </si>
  <si>
    <t>光模块-200G-QSFP56-多模-850nm-0.1km-NDD</t>
  </si>
  <si>
    <t>KunTai A924成套包材</t>
  </si>
  <si>
    <t>光模块-200G-QSFP56-多模-850nm-0.1km-Trixon</t>
  </si>
  <si>
    <t>SSD ES3521AV6-1.92T-SATA-2.5读取HW 侧底孔1.4</t>
  </si>
  <si>
    <t>行标签</t>
  </si>
  <si>
    <t>总计</t>
  </si>
  <si>
    <t>求和项:总数量</t>
  </si>
  <si>
    <t>求和项:数量</t>
  </si>
  <si>
    <t>总数量</t>
    <phoneticPr fontId="1" type="noConversion"/>
  </si>
  <si>
    <t>(空白)</t>
  </si>
  <si>
    <t>备货总数量</t>
    <phoneticPr fontId="1" type="noConversion"/>
  </si>
  <si>
    <t>销售总数量</t>
    <phoneticPr fontId="1" type="noConversion"/>
  </si>
  <si>
    <t>即BI销售订单明细</t>
    <phoneticPr fontId="1" type="noConversion"/>
  </si>
  <si>
    <t>表1-1 备货配置BOM</t>
    <phoneticPr fontId="1" type="noConversion"/>
  </si>
  <si>
    <t>表1-2 备货物料汇总</t>
    <phoneticPr fontId="1" type="noConversion"/>
  </si>
  <si>
    <t>表2-1 销售订单明细</t>
    <phoneticPr fontId="1" type="noConversion"/>
  </si>
  <si>
    <t>表2-2 销售订单明细物料汇总</t>
    <phoneticPr fontId="1" type="noConversion"/>
  </si>
  <si>
    <t>表2-3 产品BOM</t>
    <phoneticPr fontId="1" type="noConversion"/>
  </si>
  <si>
    <t>表2-4 销售物料汇总</t>
    <phoneticPr fontId="1" type="noConversion"/>
  </si>
  <si>
    <t>根据表1-1，由物料号透视汇总数量</t>
    <phoneticPr fontId="1" type="noConversion"/>
  </si>
  <si>
    <t>根据表2-1，由物料号透视汇总数量</t>
    <phoneticPr fontId="1" type="noConversion"/>
  </si>
  <si>
    <t>根据表2-3，由物料号透视汇总数量</t>
    <phoneticPr fontId="1" type="noConversion"/>
  </si>
  <si>
    <t>表3-1 备货-销售差异汇总</t>
    <phoneticPr fontId="1" type="noConversion"/>
  </si>
  <si>
    <t>结合表1-2、表2-4，对比差异</t>
    <phoneticPr fontId="1" type="noConversion"/>
  </si>
  <si>
    <t>差异(备货-销售)</t>
    <phoneticPr fontId="1" type="noConversion"/>
  </si>
  <si>
    <t>项目</t>
    <phoneticPr fontId="1" type="noConversion"/>
  </si>
  <si>
    <t>CRM立项编号：SH250112118           项目名称：中国银联2025年智能算力服务器及网络设备采购项目（包1）</t>
    <phoneticPr fontId="1" type="noConversion"/>
  </si>
  <si>
    <t>获取报价单的配置BOM</t>
    <phoneticPr fontId="1" type="noConversion"/>
  </si>
  <si>
    <t>从vm_dcn_xsmx，按CRM立项编号抓取</t>
    <phoneticPr fontId="1" type="noConversion"/>
  </si>
  <si>
    <t>从material_find_manage，按物料号抓</t>
    <phoneticPr fontId="1" type="noConversion"/>
  </si>
  <si>
    <t>查询SAP物料BOM，结合表2-2的产成品数量，将产成品按照BOM结构展开</t>
    <phoneticPr fontId="1" type="noConversion"/>
  </si>
  <si>
    <t>305-000160</t>
    <phoneticPr fontId="1" type="noConversion"/>
  </si>
  <si>
    <t>1、以项目的维度在页面展示（只抓取1-1和2-1都有的项目）
2、点击某个项目进行差异表计算（实时计算）
3、导出做一下数量限制，具体以查询速度定</t>
    <phoneticPr fontId="1" type="noConversion"/>
  </si>
  <si>
    <t>单套数量</t>
    <phoneticPr fontId="1" type="noConversion"/>
  </si>
  <si>
    <t>采购类型</t>
    <phoneticPr fontId="1" type="noConversion"/>
  </si>
  <si>
    <t>是否指定物料</t>
    <phoneticPr fontId="1" type="noConversion"/>
  </si>
  <si>
    <t>特殊说明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</si>
</sst>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2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  <font>
      <sz val="12"/>
      <color rgb="FF000000"/>
      <name val="等线"/>
      <family val="3"/>
      <charset val="134"/>
      <scheme val="minor"/>
    </font>
    <font>
      <sz val="10"/>
      <color rgb="FFFF0000"/>
      <name val="微软雅黑"/>
      <family val="2"/>
      <charset val="134"/>
    </font>
    <font>
      <sz val="1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8CBAD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2" borderId="1">
      <alignment horizontal="center" vertical="center"/>
    </xf>
    <xf numFmtId="0" fontId="3" fillId="2" borderId="1">
      <alignment horizontal="center" vertical="center"/>
    </xf>
    <xf numFmtId="0" fontId="2" fillId="3" borderId="1">
      <alignment horizontal="center" vertical="center"/>
    </xf>
  </cellStyleXfs>
  <cellXfs count="19">
    <xf numFmtId="0" fontId="0" fillId="0" borderId="0" xfId="0"/>
    <xf numFmtId="0" fontId="2" fillId="2" borderId="1" xfId="1">
      <alignment horizontal="center" vertical="center"/>
    </xf>
    <xf numFmtId="0" fontId="3" fillId="2" borderId="1" xfId="2">
      <alignment horizontal="center" vertical="center"/>
    </xf>
    <xf numFmtId="0" fontId="2" fillId="2" borderId="1" xfId="2" applyFo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0" fillId="0" borderId="1" xfId="0" applyBorder="1"/>
    <xf numFmtId="0" fontId="5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4" fillId="0" borderId="1" xfId="0" applyFont="1" applyBorder="1" applyAlignment="1">
      <alignment horizontal="left"/>
    </xf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6" fillId="4" borderId="1" xfId="0" applyFont="1" applyFill="1" applyBorder="1"/>
    <xf numFmtId="0" fontId="9" fillId="0" borderId="0" xfId="0" applyFont="1" applyAlignment="1">
      <alignment vertical="center"/>
    </xf>
    <xf numFmtId="0" fontId="10" fillId="2" borderId="1" xfId="2" applyFont="1">
      <alignment horizontal="center" vertical="center"/>
    </xf>
    <xf numFmtId="0" fontId="11" fillId="2" borderId="1" xfId="2" applyFont="1">
      <alignment horizontal="center" vertical="center"/>
    </xf>
    <xf numFmtId="0" fontId="0" fillId="0" borderId="0" xfId="0" applyAlignment="1">
      <alignment wrapText="1"/>
    </xf>
  </cellXfs>
  <cellStyles count="4">
    <cellStyle name="h1a11" xfId="1" xr:uid="{33A9E1B3-897A-4E50-A470-2E86C079EBEF}"/>
    <cellStyle name="h2a11" xfId="2" xr:uid="{30821A49-90F4-41DA-BA21-ACA2E0DED315}"/>
    <cellStyle name="h8a11" xfId="3" xr:uid="{F82851DD-AE4F-473C-884F-D87C4EEC72E8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德天杜" refreshedDate="45974.470852777777" createdVersion="8" refreshedVersion="8" minRefreshableVersion="3" recordCount="8" xr:uid="{07CA3DDC-6C11-4085-B73D-7EDE47B2E64D}">
  <cacheSource type="worksheet">
    <worksheetSource ref="A1:G9" sheet="表2-1 销售订单明细"/>
  </cacheSource>
  <cacheFields count="7">
    <cacheField name="销售订单号" numFmtId="0">
      <sharedItems/>
    </cacheField>
    <cacheField name="销售订单行项目" numFmtId="0">
      <sharedItems/>
    </cacheField>
    <cacheField name="交货单号" numFmtId="0">
      <sharedItems/>
    </cacheField>
    <cacheField name="交货单行项目" numFmtId="0">
      <sharedItems/>
    </cacheField>
    <cacheField name="物料代码" numFmtId="0">
      <sharedItems count="6">
        <s v="000000000082000002"/>
        <s v="000000000306010455"/>
        <s v="000000000306010454"/>
        <s v="000000000306010453"/>
        <s v="000000000306010452"/>
        <s v="000000000306010451"/>
      </sharedItems>
    </cacheField>
    <cacheField name="物料名称" numFmtId="0">
      <sharedItems/>
    </cacheField>
    <cacheField name="数量" numFmtId="0">
      <sharedItems containsSemiMixedTypes="0" containsString="0" containsNumber="1" containsInteger="1" minValue="1" maxValue="3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德天杜" refreshedDate="45974.475493402781" createdVersion="8" refreshedVersion="8" minRefreshableVersion="3" recordCount="114" xr:uid="{F954F70C-C3EB-4D3D-B796-117BD8A54813}">
  <cacheSource type="worksheet">
    <worksheetSource ref="A1:I115" sheet="表2-3 产品BOM"/>
  </cacheSource>
  <cacheFields count="9">
    <cacheField name="物料代码" numFmtId="0">
      <sharedItems containsSemiMixedTypes="0" containsString="0" containsNumber="1" containsInteger="1" minValue="1" maxValue="306010455"/>
    </cacheField>
    <cacheField name="物料名称" numFmtId="0">
      <sharedItems containsBlank="1"/>
    </cacheField>
    <cacheField name="工厂代码" numFmtId="0">
      <sharedItems containsBlank="1"/>
    </cacheField>
    <cacheField name="项目类别" numFmtId="0">
      <sharedItems containsBlank="1"/>
    </cacheField>
    <cacheField name="BOM项目号" numFmtId="0">
      <sharedItems containsString="0" containsBlank="1" containsNumber="1" containsInteger="1" minValue="10" maxValue="230"/>
    </cacheField>
    <cacheField name="BOM组件代码" numFmtId="0">
      <sharedItems containsString="0" containsBlank="1" containsNumber="1" containsInteger="1" minValue="68000027" maxValue="313000892" count="41">
        <m/>
        <n v="302001363"/>
        <n v="68000338"/>
        <n v="68000179"/>
        <n v="302004338"/>
        <n v="302000315"/>
        <n v="302003586"/>
        <n v="302003536"/>
        <n v="302000631"/>
        <n v="302000251"/>
        <n v="302001164"/>
        <n v="302000788"/>
        <n v="302001873"/>
        <n v="302003171"/>
        <n v="302003649"/>
        <n v="302000248"/>
        <n v="302000187"/>
        <n v="69001312"/>
        <n v="302003987"/>
        <n v="313000892"/>
        <n v="68000053"/>
        <n v="302000271"/>
        <n v="68000027"/>
        <n v="302000331"/>
        <n v="68000028"/>
        <n v="68000324"/>
        <n v="302000867"/>
        <n v="304000492"/>
        <n v="68000310"/>
        <n v="302004227"/>
        <n v="302001349"/>
        <n v="302002612"/>
        <n v="302001844"/>
        <n v="302003810"/>
        <n v="302003941"/>
        <n v="302003521"/>
        <n v="302004092"/>
        <n v="302004159"/>
        <n v="69001318"/>
        <n v="302004291"/>
        <n v="302003642"/>
      </sharedItems>
    </cacheField>
    <cacheField name="BOM组件名称" numFmtId="0">
      <sharedItems containsBlank="1"/>
    </cacheField>
    <cacheField name="组件数量" numFmtId="0">
      <sharedItems containsSemiMixedTypes="0" containsString="0" containsNumber="1" containsInteger="1" minValue="1" maxValue="335"/>
    </cacheField>
    <cacheField name="总数量" numFmtId="0">
      <sharedItems containsString="0" containsBlank="1" containsNumber="1" containsInteger="1" minValue="9" maxValue="40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德天杜" refreshedDate="45974.587550925928" createdVersion="8" refreshedVersion="8" minRefreshableVersion="3" recordCount="54" xr:uid="{9C74C9AB-F690-4EA1-9AA6-72C1817054B2}">
  <cacheSource type="worksheet">
    <worksheetSource ref="A1:I55" sheet="表1-1 备货配置BOM"/>
  </cacheSource>
  <cacheFields count="9">
    <cacheField name="物料类别" numFmtId="0">
      <sharedItems containsMixedTypes="1" containsNumber="1" containsInteger="1" minValue="1" maxValue="3"/>
    </cacheField>
    <cacheField name="产品名称" numFmtId="0">
      <sharedItems containsBlank="1"/>
    </cacheField>
    <cacheField name="料号" numFmtId="0">
      <sharedItems containsMixedTypes="1" containsNumber="1" containsInteger="1" minValue="68000053" maxValue="304000492" count="64">
        <s v="A924 DS"/>
        <n v="304000492"/>
        <n v="68000310"/>
        <n v="302001644"/>
        <n v="302002092"/>
        <n v="302001354"/>
        <n v="302002612"/>
        <n v="302001844"/>
        <n v="302001655"/>
        <n v="302003912"/>
        <n v="302003302"/>
        <n v="302003131"/>
        <n v="302003132"/>
        <n v="302004291"/>
        <n v="69001318"/>
        <n v="68000324"/>
        <s v="R722"/>
        <n v="302003095"/>
        <n v="302001363"/>
        <n v="302000147"/>
        <n v="302001040"/>
        <n v="302001332"/>
        <n v="302000251"/>
        <n v="302001873"/>
        <n v="302000788"/>
        <n v="302000187"/>
        <n v="302003987"/>
        <n v="302000248"/>
        <n v="69001312"/>
        <n v="68000053"/>
        <n v="80008624"/>
        <n v="80008653"/>
        <n v="80008592"/>
        <s v="304-000492" u="1"/>
        <s v="68-000310" u="1"/>
        <s v="302-001644" u="1"/>
        <s v="302-002092" u="1"/>
        <s v="302-001354" u="1"/>
        <s v="302-002612" u="1"/>
        <s v="302-001844" u="1"/>
        <s v="302-001655" u="1"/>
        <s v="302-003912" u="1"/>
        <s v="302-003302" u="1"/>
        <s v="302-003131" u="1"/>
        <s v="302-003132" u="1"/>
        <s v="302-004291" u="1"/>
        <s v="69-001318" u="1"/>
        <s v="68-000324" u="1"/>
        <s v="302-003095" u="1"/>
        <s v="302-001363" u="1"/>
        <s v="302-000147" u="1"/>
        <s v="302-001040" u="1"/>
        <s v="302-001332" u="1"/>
        <s v="302-000251" u="1"/>
        <s v="302-001873" u="1"/>
        <s v="302-000788" u="1"/>
        <s v="302-000187" u="1"/>
        <s v="302-003987" u="1"/>
        <s v="302-000248" u="1"/>
        <s v="69-001312" u="1"/>
        <s v="68-000053" u="1"/>
        <s v="80-008624" u="1"/>
        <s v="80-008653" u="1"/>
        <s v="80-008592" u="1"/>
      </sharedItems>
    </cacheField>
    <cacheField name="描述" numFmtId="0">
      <sharedItems containsBlank="1"/>
    </cacheField>
    <cacheField name="单套数量" numFmtId="0">
      <sharedItems containsString="0" containsBlank="1" containsNumber="1" containsInteger="1" minValue="1" maxValue="32"/>
    </cacheField>
    <cacheField name="总数量" numFmtId="0">
      <sharedItems containsSemiMixedTypes="0" containsString="0" containsNumber="1" containsInteger="1" minValue="9" maxValue="7536"/>
    </cacheField>
    <cacheField name="采购类型" numFmtId="0">
      <sharedItems containsBlank="1"/>
    </cacheField>
    <cacheField name="是否指定物料" numFmtId="0">
      <sharedItems containsBlank="1"/>
    </cacheField>
    <cacheField name="特殊说明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0015844780"/>
    <s v="000030"/>
    <s v="0015844780"/>
    <s v="000030"/>
    <x v="0"/>
    <s v="价外费用"/>
    <n v="1"/>
  </r>
  <r>
    <s v="0015844779"/>
    <s v="000040"/>
    <s v="0814967635"/>
    <s v="000040"/>
    <x v="1"/>
    <s v="KunTai R722 服务器"/>
    <n v="212"/>
  </r>
  <r>
    <s v="0015844780"/>
    <s v="000020"/>
    <s v="0015844780"/>
    <s v="000020"/>
    <x v="0"/>
    <s v="价外费用"/>
    <n v="1"/>
  </r>
  <r>
    <s v="0015844779"/>
    <s v="000010"/>
    <s v="0814967635"/>
    <s v="000010"/>
    <x v="2"/>
    <s v="KunTai A924 DS 服务器"/>
    <n v="36"/>
  </r>
  <r>
    <s v="0015844779"/>
    <s v="000020"/>
    <s v="0814967635"/>
    <s v="000020"/>
    <x v="3"/>
    <s v="KunTai A924 DS 服务器"/>
    <n v="9"/>
  </r>
  <r>
    <s v="0015844779"/>
    <s v="000030"/>
    <s v="0814967635"/>
    <s v="000030"/>
    <x v="4"/>
    <s v="KunTai R722 服务器"/>
    <n v="21"/>
  </r>
  <r>
    <s v="0015844779"/>
    <s v="000050"/>
    <s v="0814967635"/>
    <s v="000050"/>
    <x v="5"/>
    <s v="KunTai R722 服务器"/>
    <n v="81"/>
  </r>
  <r>
    <s v="0015844780"/>
    <s v="000010"/>
    <s v="0814967636"/>
    <s v="000010"/>
    <x v="4"/>
    <s v="KunTai R722 服务器"/>
    <n v="31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">
  <r>
    <n v="1"/>
    <m/>
    <m/>
    <m/>
    <m/>
    <x v="0"/>
    <m/>
    <n v="212"/>
    <m/>
  </r>
  <r>
    <n v="306010455"/>
    <s v="KunTai R722 服务器"/>
    <s v="MTMU"/>
    <s v="L"/>
    <n v="20"/>
    <x v="1"/>
    <s v="S主板S920S00-2*5220(32C@2.6)-AJ-VE-1711"/>
    <n v="1"/>
    <n v="212"/>
  </r>
  <r>
    <n v="306010455"/>
    <s v="KunTai R722 服务器"/>
    <s v="MTMU"/>
    <s v="N"/>
    <n v="10"/>
    <x v="2"/>
    <s v="S机箱-12*3.5SATA/SAS-EXP R522散件"/>
    <n v="1"/>
    <n v="212"/>
  </r>
  <r>
    <n v="306010455"/>
    <s v="KunTai R722 服务器"/>
    <s v="MTMU"/>
    <s v="N"/>
    <n v="40"/>
    <x v="3"/>
    <s v="3*16X SLOT (PCIe X8)RISER1/2"/>
    <n v="2"/>
    <n v="424"/>
  </r>
  <r>
    <n v="306010455"/>
    <s v="KunTai R722 服务器"/>
    <s v="MTMU"/>
    <s v="L"/>
    <n v="30"/>
    <x v="4"/>
    <s v="S内存DDR4-32G-3200-2Rx8-HLS"/>
    <n v="12"/>
    <n v="2544"/>
  </r>
  <r>
    <n v="306010455"/>
    <s v="KunTai R722 服务器"/>
    <s v="MTMU"/>
    <s v="L"/>
    <n v="60"/>
    <x v="5"/>
    <s v="Raid卡电池盒-21203767-001_draen.prt"/>
    <n v="1"/>
    <n v="212"/>
  </r>
  <r>
    <n v="306010455"/>
    <s v="KunTai R722 服务器"/>
    <s v="MTMU"/>
    <s v="L"/>
    <n v="50"/>
    <x v="6"/>
    <s v="3508/3516 RAID卡超级电容(不含电池盒)"/>
    <n v="1"/>
    <n v="212"/>
  </r>
  <r>
    <n v="306010455"/>
    <s v="KunTai R722 服务器"/>
    <s v="MTMU"/>
    <s v="L"/>
    <n v="80"/>
    <x v="7"/>
    <s v="SSD ES3521AV6-1.92T-SATA-6G-2.5读取HW 侧底孔"/>
    <n v="6"/>
    <n v="1272"/>
  </r>
  <r>
    <n v="306010455"/>
    <s v="KunTai R722 服务器"/>
    <s v="MTMU"/>
    <s v="L"/>
    <n v="70"/>
    <x v="8"/>
    <s v="S硬盘1.2T-2.5SAS-12G10K-128M-XJ V1.0"/>
    <n v="2"/>
    <n v="424"/>
  </r>
  <r>
    <n v="306010455"/>
    <s v="KunTai R722 服务器"/>
    <s v="MTMU"/>
    <s v="L"/>
    <n v="100"/>
    <x v="9"/>
    <s v="高速电缆 Mini SAS HD Cable-0.85m"/>
    <n v="2"/>
    <n v="424"/>
  </r>
  <r>
    <n v="306010455"/>
    <s v="KunTai R722 服务器"/>
    <s v="MTMU"/>
    <s v="L"/>
    <n v="90"/>
    <x v="10"/>
    <s v="RAID标卡9460-8i-2G-PCIe3.0x8 Cache"/>
    <n v="1"/>
    <n v="212"/>
  </r>
  <r>
    <n v="306010455"/>
    <s v="KunTai R722 服务器"/>
    <s v="MTMU"/>
    <s v="L"/>
    <n v="120"/>
    <x v="11"/>
    <s v="网卡 MCX4121A-ACUT 2*25G SFP28-无模"/>
    <n v="2"/>
    <n v="424"/>
  </r>
  <r>
    <n v="306010455"/>
    <s v="KunTai R722 服务器"/>
    <s v="MTMU"/>
    <s v="L"/>
    <n v="110"/>
    <x v="12"/>
    <s v="TM210板载灵活网卡4*1GE-RJ45"/>
    <n v="1"/>
    <n v="212"/>
  </r>
  <r>
    <n v="306010455"/>
    <s v="KunTai R722 服务器"/>
    <s v="MTMU"/>
    <s v="L"/>
    <n v="140"/>
    <x v="13"/>
    <s v="光模块-25G-SFP28-多模-850nm-0.3km-LC-TRC"/>
    <n v="2"/>
    <n v="424"/>
  </r>
  <r>
    <n v="306010455"/>
    <s v="KunTai R722 服务器"/>
    <s v="MTMU"/>
    <s v="L"/>
    <n v="130"/>
    <x v="14"/>
    <s v="光模块-10G-SFP28-多模-850nm-0.3km-LC-COB-TRC"/>
    <n v="2"/>
    <n v="424"/>
  </r>
  <r>
    <n v="306010455"/>
    <s v="KunTai R722 服务器"/>
    <s v="MTMU"/>
    <s v="L"/>
    <n v="160"/>
    <x v="15"/>
    <s v="S电源线PDU国标-C14直公-C13直母-250V10A-1.5m黑-交流"/>
    <n v="2"/>
    <n v="424"/>
  </r>
  <r>
    <n v="306010455"/>
    <s v="KunTai R722 服务器"/>
    <s v="MTMU"/>
    <s v="L"/>
    <n v="150"/>
    <x v="16"/>
    <s v="2U静态滑轨套件"/>
    <n v="1"/>
    <n v="212"/>
  </r>
  <r>
    <n v="306010455"/>
    <s v="KunTai R722 服务器"/>
    <s v="MTMU"/>
    <s v="N"/>
    <n v="180"/>
    <x v="17"/>
    <s v="KunTai R722成套包材"/>
    <n v="1"/>
    <n v="212"/>
  </r>
  <r>
    <n v="306010455"/>
    <s v="KunTai R722 服务器"/>
    <s v="MTMU"/>
    <s v="L"/>
    <n v="170"/>
    <x v="18"/>
    <s v="S电源900W-交流220V-PAC900S12-B3 02314PDL"/>
    <n v="2"/>
    <n v="424"/>
  </r>
  <r>
    <n v="306010455"/>
    <s v="KunTai R722 服务器"/>
    <s v="MTMU"/>
    <s v="L"/>
    <n v="200"/>
    <x v="19"/>
    <s v="移动定制-raid1"/>
    <n v="1"/>
    <n v="212"/>
  </r>
  <r>
    <n v="306010455"/>
    <s v="KunTai R722 服务器"/>
    <s v="MTMU"/>
    <s v="N"/>
    <n v="190"/>
    <x v="20"/>
    <s v="S920S00 VE主板 BIOS 1711BMC  CPLD"/>
    <n v="1"/>
    <n v="212"/>
  </r>
  <r>
    <n v="306010455"/>
    <s v="KunTai R722 服务器"/>
    <s v="MTMU"/>
    <s v="L"/>
    <n v="220"/>
    <x v="21"/>
    <s v="3.5英寸假硬盘托架"/>
    <n v="4"/>
    <n v="848"/>
  </r>
  <r>
    <n v="306010455"/>
    <s v="KunTai R722 服务器"/>
    <s v="MTMU"/>
    <s v="N"/>
    <n v="210"/>
    <x v="22"/>
    <s v="2.5转3.5英寸硬盘托架组合"/>
    <n v="8"/>
    <n v="1696"/>
  </r>
  <r>
    <n v="306010455"/>
    <s v="KunTai R722 服务器"/>
    <s v="MTMU"/>
    <s v="L"/>
    <n v="230"/>
    <x v="23"/>
    <s v="PCIe全高挡片-钣金-21122419"/>
    <n v="3"/>
    <n v="636"/>
  </r>
  <r>
    <n v="2"/>
    <m/>
    <m/>
    <m/>
    <m/>
    <x v="0"/>
    <m/>
    <n v="36"/>
    <m/>
  </r>
  <r>
    <n v="306010454"/>
    <s v="KunTai A924 DS 服务器"/>
    <s v="MTMU"/>
    <s v="N"/>
    <n v="190"/>
    <x v="24"/>
    <s v="神码客制化2.5英寸硬盘托架组合"/>
    <n v="4"/>
    <n v="144"/>
  </r>
  <r>
    <n v="306010454"/>
    <s v="KunTai A924 DS 服务器"/>
    <s v="MTMU"/>
    <s v="N"/>
    <n v="180"/>
    <x v="25"/>
    <s v="A924推理典配BIOS/BMC固件包"/>
    <n v="1"/>
    <n v="36"/>
  </r>
  <r>
    <n v="306010454"/>
    <s v="KunTai A924 DS 服务器"/>
    <s v="MTMU"/>
    <s v="L"/>
    <n v="200"/>
    <x v="26"/>
    <s v="M.2 螺钉 M3*4 渡彩锌"/>
    <n v="2"/>
    <n v="72"/>
  </r>
  <r>
    <n v="306010454"/>
    <s v="KunTai A924 DS 服务器"/>
    <s v="MTMU"/>
    <s v="L"/>
    <n v="10"/>
    <x v="27"/>
    <s v="A924典配L6-4*920 2.6G 8*910_4_1 2Nvme 64G"/>
    <n v="1"/>
    <n v="36"/>
  </r>
  <r>
    <n v="306010454"/>
    <s v="KunTai A924 DS 服务器"/>
    <s v="MTMU"/>
    <s v="L"/>
    <n v="30"/>
    <x v="4"/>
    <s v="S内存DDR4-32G-3200-2Rx8-HLS"/>
    <n v="32"/>
    <n v="1152"/>
  </r>
  <r>
    <n v="306010454"/>
    <s v="KunTai A924 DS 服务器"/>
    <s v="MTMU"/>
    <s v="N"/>
    <n v="20"/>
    <x v="28"/>
    <s v="02315HQP-70B_48C@2.6GHz_DS一体机底座"/>
    <n v="1"/>
    <n v="36"/>
  </r>
  <r>
    <n v="306010454"/>
    <s v="KunTai A924 DS 服务器"/>
    <s v="MTMU"/>
    <s v="L"/>
    <n v="50"/>
    <x v="29"/>
    <s v="SSD ES3521A V7-1.92T-SATA-2.5-读取 HW V1.0"/>
    <n v="2"/>
    <n v="72"/>
  </r>
  <r>
    <n v="306010454"/>
    <s v="KunTai A924 DS 服务器"/>
    <s v="MTMU"/>
    <s v="L"/>
    <n v="40"/>
    <x v="30"/>
    <s v="SSD ES3521AV6-960G-SATA-6G-2.5读取HW侧孔1.0"/>
    <n v="2"/>
    <n v="72"/>
  </r>
  <r>
    <n v="306010454"/>
    <s v="KunTai A924 DS 服务器"/>
    <s v="MTMU"/>
    <s v="L"/>
    <n v="70"/>
    <x v="31"/>
    <s v="RAID标卡9560-8i-4G-PCIe4.0x8 HW NMP"/>
    <n v="1"/>
    <n v="36"/>
  </r>
  <r>
    <n v="306010454"/>
    <s v="KunTai A924 DS 服务器"/>
    <s v="MTMU"/>
    <s v="L"/>
    <n v="60"/>
    <x v="32"/>
    <s v="SAS线-Mini SAS to 2*Mini SAS-1.0m&amp;0.9m HW"/>
    <n v="1"/>
    <n v="36"/>
  </r>
  <r>
    <n v="306010454"/>
    <s v="KunTai A924 DS 服务器"/>
    <s v="MTMU"/>
    <s v="L"/>
    <n v="90"/>
    <x v="5"/>
    <s v="Raid卡电池盒-21203767-001_draen.prt"/>
    <n v="1"/>
    <n v="36"/>
  </r>
  <r>
    <n v="306010454"/>
    <s v="KunTai A924 DS 服务器"/>
    <s v="MTMU"/>
    <s v="L"/>
    <n v="80"/>
    <x v="6"/>
    <s v="3508/3516 RAID卡超级电容(不含电池盒)"/>
    <n v="1"/>
    <n v="36"/>
  </r>
  <r>
    <n v="306010454"/>
    <s v="KunTai A924 DS 服务器"/>
    <s v="MTMU"/>
    <s v="L"/>
    <n v="110"/>
    <x v="33"/>
    <s v="网卡HP382 2*25G-SFP28-PCIE 3.0 x8-无挡片"/>
    <n v="1"/>
    <n v="36"/>
  </r>
  <r>
    <n v="306010454"/>
    <s v="KunTai A924 DS 服务器"/>
    <s v="MTMU"/>
    <s v="L"/>
    <n v="100"/>
    <x v="34"/>
    <s v="SF216D-H板载灵活网卡-200GE-2端口-QSFP56 V2.0"/>
    <n v="4"/>
    <n v="144"/>
  </r>
  <r>
    <n v="306010454"/>
    <s v="KunTai A924 DS 服务器"/>
    <s v="MTMU"/>
    <s v="L"/>
    <n v="130"/>
    <x v="35"/>
    <s v="网卡HP382 25G双口SFP28(CX-5) Lx无光模块-全高"/>
    <n v="1"/>
    <n v="36"/>
  </r>
  <r>
    <n v="306010454"/>
    <s v="KunTai A924 DS 服务器"/>
    <s v="MTMU"/>
    <s v="L"/>
    <n v="120"/>
    <x v="36"/>
    <s v="382半高网卡挡片"/>
    <n v="1"/>
    <n v="36"/>
  </r>
  <r>
    <n v="306010454"/>
    <s v="KunTai A924 DS 服务器"/>
    <s v="MTMU"/>
    <s v="L"/>
    <n v="150"/>
    <x v="14"/>
    <s v="光模块-10G-SFP28-多模-850nm-0.3km-LC-COB-TRC"/>
    <n v="2"/>
    <n v="72"/>
  </r>
  <r>
    <n v="306010454"/>
    <s v="KunTai A924 DS 服务器"/>
    <s v="MTMU"/>
    <s v="L"/>
    <n v="140"/>
    <x v="37"/>
    <s v="光模块-200G-QSFP56-多模-850nm-0.1km-NDD"/>
    <n v="8"/>
    <n v="288"/>
  </r>
  <r>
    <n v="306010454"/>
    <s v="KunTai A924 DS 服务器"/>
    <s v="MTMU"/>
    <s v="N"/>
    <n v="170"/>
    <x v="38"/>
    <s v="KunTai A924成套包材"/>
    <n v="1"/>
    <n v="36"/>
  </r>
  <r>
    <n v="306010454"/>
    <s v="KunTai A924 DS 服务器"/>
    <s v="MTMU"/>
    <s v="L"/>
    <n v="160"/>
    <x v="13"/>
    <s v="光模块-25G-SFP28-多模-850nm-0.3km-LC-TRC"/>
    <n v="2"/>
    <n v="72"/>
  </r>
  <r>
    <n v="3"/>
    <m/>
    <m/>
    <m/>
    <m/>
    <x v="0"/>
    <m/>
    <n v="9"/>
    <m/>
  </r>
  <r>
    <n v="306010453"/>
    <s v="KunTai A924 DS 服务器"/>
    <s v="MTMU"/>
    <s v="L"/>
    <n v="10"/>
    <x v="27"/>
    <s v="A924典配L6-4*920 2.6G 8*910_4_1 2Nvme 64G"/>
    <n v="1"/>
    <n v="9"/>
  </r>
  <r>
    <n v="306010453"/>
    <s v="KunTai A924 DS 服务器"/>
    <s v="MTMU"/>
    <s v="L"/>
    <n v="30"/>
    <x v="4"/>
    <s v="S内存DDR4-32G-3200-2Rx8-HLS"/>
    <n v="32"/>
    <n v="288"/>
  </r>
  <r>
    <n v="306010453"/>
    <s v="KunTai A924 DS 服务器"/>
    <s v="MTMU"/>
    <s v="N"/>
    <n v="20"/>
    <x v="28"/>
    <s v="02315HQP-70B_48C@2.6GHz_DS一体机底座"/>
    <n v="1"/>
    <n v="9"/>
  </r>
  <r>
    <n v="306010453"/>
    <s v="KunTai A924 DS 服务器"/>
    <s v="MTMU"/>
    <s v="L"/>
    <n v="50"/>
    <x v="29"/>
    <s v="SSD ES3521A V7-1.92T-SATA-2.5-读取 HW V1.0"/>
    <n v="2"/>
    <n v="18"/>
  </r>
  <r>
    <n v="306010453"/>
    <s v="KunTai A924 DS 服务器"/>
    <s v="MTMU"/>
    <s v="L"/>
    <n v="40"/>
    <x v="30"/>
    <s v="SSD ES3521AV6-960G-SATA-6G-2.5读取HW侧孔1.0"/>
    <n v="2"/>
    <n v="18"/>
  </r>
  <r>
    <n v="306010453"/>
    <s v="KunTai A924 DS 服务器"/>
    <s v="MTMU"/>
    <s v="L"/>
    <n v="70"/>
    <x v="32"/>
    <s v="SAS线-Mini SAS to 2*Mini SAS-1.0m&amp;0.9m HW"/>
    <n v="1"/>
    <n v="9"/>
  </r>
  <r>
    <n v="306010453"/>
    <s v="KunTai A924 DS 服务器"/>
    <s v="MTMU"/>
    <s v="L"/>
    <n v="60"/>
    <x v="31"/>
    <s v="RAID标卡9560-8i-4G-PCIe4.0x8 HW NMP"/>
    <n v="1"/>
    <n v="9"/>
  </r>
  <r>
    <n v="306010453"/>
    <s v="KunTai A924 DS 服务器"/>
    <s v="MTMU"/>
    <s v="L"/>
    <n v="90"/>
    <x v="5"/>
    <s v="Raid卡电池盒-21203767-001_draen.prt"/>
    <n v="1"/>
    <n v="9"/>
  </r>
  <r>
    <n v="306010453"/>
    <s v="KunTai A924 DS 服务器"/>
    <s v="MTMU"/>
    <s v="L"/>
    <n v="80"/>
    <x v="6"/>
    <s v="3508/3516 RAID卡超级电容(不含电池盒)"/>
    <n v="1"/>
    <n v="9"/>
  </r>
  <r>
    <n v="306010453"/>
    <s v="KunTai A924 DS 服务器"/>
    <s v="MTMU"/>
    <s v="L"/>
    <n v="110"/>
    <x v="33"/>
    <s v="网卡HP382 2*25G-SFP28-PCIE 3.0 x8-无挡片"/>
    <n v="1"/>
    <n v="9"/>
  </r>
  <r>
    <n v="306010453"/>
    <s v="KunTai A924 DS 服务器"/>
    <s v="MTMU"/>
    <s v="L"/>
    <n v="100"/>
    <x v="34"/>
    <s v="SF216D-H板载灵活网卡-200GE-2端口-QSFP56 V2.0"/>
    <n v="4"/>
    <n v="36"/>
  </r>
  <r>
    <n v="306010453"/>
    <s v="KunTai A924 DS 服务器"/>
    <s v="MTMU"/>
    <s v="L"/>
    <n v="130"/>
    <x v="35"/>
    <s v="网卡HP382 25G双口SFP28(CX-5) Lx无光模块-全高"/>
    <n v="1"/>
    <n v="9"/>
  </r>
  <r>
    <n v="306010453"/>
    <s v="KunTai A924 DS 服务器"/>
    <s v="MTMU"/>
    <s v="L"/>
    <n v="120"/>
    <x v="36"/>
    <s v="382半高网卡挡片"/>
    <n v="1"/>
    <n v="9"/>
  </r>
  <r>
    <n v="306010453"/>
    <s v="KunTai A924 DS 服务器"/>
    <s v="MTMU"/>
    <s v="L"/>
    <n v="150"/>
    <x v="13"/>
    <s v="光模块-25G-SFP28-多模-850nm-0.3km-LC-TRC"/>
    <n v="2"/>
    <n v="18"/>
  </r>
  <r>
    <n v="306010453"/>
    <s v="KunTai A924 DS 服务器"/>
    <s v="MTMU"/>
    <s v="L"/>
    <n v="140"/>
    <x v="39"/>
    <s v="光模块-200G-QSFP56-多模-850nm-0.1km-Trixon"/>
    <n v="8"/>
    <n v="72"/>
  </r>
  <r>
    <n v="306010453"/>
    <s v="KunTai A924 DS 服务器"/>
    <s v="MTMU"/>
    <s v="N"/>
    <n v="170"/>
    <x v="38"/>
    <s v="KunTai A924成套包材"/>
    <n v="1"/>
    <n v="9"/>
  </r>
  <r>
    <n v="306010453"/>
    <s v="KunTai A924 DS 服务器"/>
    <s v="MTMU"/>
    <s v="L"/>
    <n v="160"/>
    <x v="14"/>
    <s v="光模块-10G-SFP28-多模-850nm-0.3km-LC-COB-TRC"/>
    <n v="2"/>
    <n v="18"/>
  </r>
  <r>
    <n v="306010453"/>
    <s v="KunTai A924 DS 服务器"/>
    <s v="MTMU"/>
    <s v="N"/>
    <n v="190"/>
    <x v="24"/>
    <s v="神码客制化2.5英寸硬盘托架组合"/>
    <n v="4"/>
    <n v="36"/>
  </r>
  <r>
    <n v="306010453"/>
    <s v="KunTai A924 DS 服务器"/>
    <s v="MTMU"/>
    <s v="N"/>
    <n v="180"/>
    <x v="25"/>
    <s v="A924推理典配BIOS/BMC固件包"/>
    <n v="1"/>
    <n v="9"/>
  </r>
  <r>
    <n v="306010453"/>
    <s v="KunTai A924 DS 服务器"/>
    <s v="MTMU"/>
    <s v="L"/>
    <n v="200"/>
    <x v="26"/>
    <s v="M.2 螺钉 M3*4 渡彩锌"/>
    <n v="2"/>
    <n v="18"/>
  </r>
  <r>
    <n v="4"/>
    <m/>
    <m/>
    <m/>
    <m/>
    <x v="0"/>
    <m/>
    <n v="335"/>
    <m/>
  </r>
  <r>
    <n v="306010452"/>
    <s v="KunTai R722 服务器"/>
    <s v="MTMU"/>
    <s v="L"/>
    <n v="230"/>
    <x v="23"/>
    <s v="PCIe全高挡片-钣金-21122419"/>
    <n v="3"/>
    <n v="1005"/>
  </r>
  <r>
    <n v="306010452"/>
    <s v="KunTai R722 服务器"/>
    <s v="MTMU"/>
    <s v="L"/>
    <n v="220"/>
    <x v="21"/>
    <s v="3.5英寸假硬盘托架"/>
    <n v="4"/>
    <n v="1340"/>
  </r>
  <r>
    <n v="306010452"/>
    <s v="KunTai R722 服务器"/>
    <s v="MTMU"/>
    <s v="N"/>
    <n v="210"/>
    <x v="22"/>
    <s v="2.5转3.5英寸硬盘托架组合"/>
    <n v="8"/>
    <n v="2680"/>
  </r>
  <r>
    <n v="306010452"/>
    <s v="KunTai R722 服务器"/>
    <s v="MTMU"/>
    <s v="L"/>
    <n v="200"/>
    <x v="19"/>
    <s v="移动定制-raid1"/>
    <n v="1"/>
    <n v="335"/>
  </r>
  <r>
    <n v="306010452"/>
    <s v="KunTai R722 服务器"/>
    <s v="MTMU"/>
    <s v="N"/>
    <n v="190"/>
    <x v="20"/>
    <s v="S920S00 VE主板 BIOS 1711BMC  CPLD"/>
    <n v="1"/>
    <n v="335"/>
  </r>
  <r>
    <n v="306010452"/>
    <s v="KunTai R722 服务器"/>
    <s v="MTMU"/>
    <s v="N"/>
    <n v="180"/>
    <x v="17"/>
    <s v="KunTai R722成套包材"/>
    <n v="1"/>
    <n v="335"/>
  </r>
  <r>
    <n v="306010452"/>
    <s v="KunTai R722 服务器"/>
    <s v="MTMU"/>
    <s v="L"/>
    <n v="150"/>
    <x v="16"/>
    <s v="2U静态滑轨套件"/>
    <n v="1"/>
    <n v="335"/>
  </r>
  <r>
    <n v="306010452"/>
    <s v="KunTai R722 服务器"/>
    <s v="MTMU"/>
    <s v="L"/>
    <n v="170"/>
    <x v="18"/>
    <s v="S电源900W-交流220V-PAC900S12-B3 02314PDL"/>
    <n v="2"/>
    <n v="670"/>
  </r>
  <r>
    <n v="306010452"/>
    <s v="KunTai R722 服务器"/>
    <s v="MTMU"/>
    <s v="L"/>
    <n v="130"/>
    <x v="14"/>
    <s v="光模块-10G-SFP28-多模-850nm-0.3km-LC-COB-TRC"/>
    <n v="2"/>
    <n v="670"/>
  </r>
  <r>
    <n v="306010452"/>
    <s v="KunTai R722 服务器"/>
    <s v="MTMU"/>
    <s v="L"/>
    <n v="160"/>
    <x v="15"/>
    <s v="S电源线PDU国标-C14直公-C13直母-250V10A-1.5m黑-交流"/>
    <n v="2"/>
    <n v="670"/>
  </r>
  <r>
    <n v="306010452"/>
    <s v="KunTai R722 服务器"/>
    <s v="MTMU"/>
    <s v="L"/>
    <n v="110"/>
    <x v="12"/>
    <s v="TM210板载灵活网卡4*1GE-RJ45"/>
    <n v="1"/>
    <n v="335"/>
  </r>
  <r>
    <n v="306010452"/>
    <s v="KunTai R722 服务器"/>
    <s v="MTMU"/>
    <s v="L"/>
    <n v="140"/>
    <x v="13"/>
    <s v="光模块-25G-SFP28-多模-850nm-0.3km-LC-TRC"/>
    <n v="2"/>
    <n v="670"/>
  </r>
  <r>
    <n v="306010452"/>
    <s v="KunTai R722 服务器"/>
    <s v="MTMU"/>
    <s v="L"/>
    <n v="90"/>
    <x v="10"/>
    <s v="RAID标卡9460-8i-2G-PCIe3.0x8 Cache"/>
    <n v="1"/>
    <n v="335"/>
  </r>
  <r>
    <n v="306010452"/>
    <s v="KunTai R722 服务器"/>
    <s v="MTMU"/>
    <s v="L"/>
    <n v="120"/>
    <x v="11"/>
    <s v="网卡 MCX4121A-ACUT 2*25G SFP28-无模"/>
    <n v="2"/>
    <n v="670"/>
  </r>
  <r>
    <n v="306010452"/>
    <s v="KunTai R722 服务器"/>
    <s v="MTMU"/>
    <s v="L"/>
    <n v="70"/>
    <x v="8"/>
    <s v="S硬盘1.2T-2.5SAS-12G10K-128M-XJ V1.0"/>
    <n v="2"/>
    <n v="670"/>
  </r>
  <r>
    <n v="306010452"/>
    <s v="KunTai R722 服务器"/>
    <s v="MTMU"/>
    <s v="L"/>
    <n v="100"/>
    <x v="9"/>
    <s v="高速电缆 Mini SAS HD Cable-0.85m"/>
    <n v="2"/>
    <n v="670"/>
  </r>
  <r>
    <n v="306010452"/>
    <s v="KunTai R722 服务器"/>
    <s v="MTMU"/>
    <s v="L"/>
    <n v="30"/>
    <x v="4"/>
    <s v="S内存DDR4-32G-3200-2Rx8-HLS"/>
    <n v="12"/>
    <n v="4020"/>
  </r>
  <r>
    <n v="306010452"/>
    <s v="KunTai R722 服务器"/>
    <s v="MTMU"/>
    <s v="L"/>
    <n v="60"/>
    <x v="5"/>
    <s v="Raid卡电池盒-21203767-001_draen.prt"/>
    <n v="1"/>
    <n v="335"/>
  </r>
  <r>
    <n v="306010452"/>
    <s v="KunTai R722 服务器"/>
    <s v="MTMU"/>
    <s v="N"/>
    <n v="10"/>
    <x v="2"/>
    <s v="S机箱-12*3.5SATA/SAS-EXP R522散件"/>
    <n v="1"/>
    <n v="335"/>
  </r>
  <r>
    <n v="306010452"/>
    <s v="KunTai R722 服务器"/>
    <s v="MTMU"/>
    <s v="N"/>
    <n v="40"/>
    <x v="3"/>
    <s v="3*16X SLOT (PCIe X8)RISER1/2"/>
    <n v="2"/>
    <n v="670"/>
  </r>
  <r>
    <n v="306010452"/>
    <s v="KunTai R722 服务器"/>
    <s v="MTMU"/>
    <s v="L"/>
    <n v="20"/>
    <x v="1"/>
    <s v="S主板S920S00-2*5220(32C@2.6)-AJ-VE-1711"/>
    <n v="1"/>
    <n v="335"/>
  </r>
  <r>
    <n v="306010452"/>
    <s v="KunTai R722 服务器"/>
    <s v="MTMU"/>
    <s v="L"/>
    <n v="50"/>
    <x v="6"/>
    <s v="3508/3516 RAID卡超级电容(不含电池盒)"/>
    <n v="1"/>
    <n v="335"/>
  </r>
  <r>
    <n v="306010452"/>
    <s v="KunTai R722 服务器"/>
    <s v="MTMU"/>
    <s v="L"/>
    <n v="80"/>
    <x v="40"/>
    <s v="SSD ES3521AV6-1.92T-SATA-2.5读取HW 侧底孔1.4"/>
    <n v="6"/>
    <n v="2010"/>
  </r>
  <r>
    <n v="5"/>
    <m/>
    <m/>
    <m/>
    <m/>
    <x v="0"/>
    <m/>
    <n v="81"/>
    <m/>
  </r>
  <r>
    <n v="306010451"/>
    <s v="KunTai R722 服务器"/>
    <s v="MTMU"/>
    <s v="L"/>
    <n v="20"/>
    <x v="1"/>
    <s v="S主板S920S00-2*5220(32C@2.6)-AJ-VE-1711"/>
    <n v="1"/>
    <n v="81"/>
  </r>
  <r>
    <n v="306010451"/>
    <s v="KunTai R722 服务器"/>
    <s v="MTMU"/>
    <s v="N"/>
    <n v="10"/>
    <x v="2"/>
    <s v="S机箱-12*3.5SATA/SAS-EXP R522散件"/>
    <n v="1"/>
    <n v="81"/>
  </r>
  <r>
    <n v="306010451"/>
    <s v="KunTai R722 服务器"/>
    <s v="MTMU"/>
    <s v="N"/>
    <n v="40"/>
    <x v="3"/>
    <s v="3*16X SLOT (PCIe X8)RISER1/2"/>
    <n v="2"/>
    <n v="162"/>
  </r>
  <r>
    <n v="306010451"/>
    <s v="KunTai R722 服务器"/>
    <s v="MTMU"/>
    <s v="L"/>
    <n v="30"/>
    <x v="4"/>
    <s v="S内存DDR4-32G-3200-2Rx8-HLS"/>
    <n v="12"/>
    <n v="972"/>
  </r>
  <r>
    <n v="306010451"/>
    <s v="KunTai R722 服务器"/>
    <s v="MTMU"/>
    <s v="L"/>
    <n v="60"/>
    <x v="5"/>
    <s v="Raid卡电池盒-21203767-001_draen.prt"/>
    <n v="1"/>
    <n v="81"/>
  </r>
  <r>
    <n v="306010451"/>
    <s v="KunTai R722 服务器"/>
    <s v="MTMU"/>
    <s v="L"/>
    <n v="50"/>
    <x v="6"/>
    <s v="3508/3516 RAID卡超级电容(不含电池盒)"/>
    <n v="1"/>
    <n v="81"/>
  </r>
  <r>
    <n v="306010451"/>
    <s v="KunTai R722 服务器"/>
    <s v="MTMU"/>
    <s v="L"/>
    <n v="80"/>
    <x v="29"/>
    <s v="SSD ES3521A V7-1.92T-SATA-2.5-读取 HW V1.0"/>
    <n v="6"/>
    <n v="486"/>
  </r>
  <r>
    <n v="306010451"/>
    <s v="KunTai R722 服务器"/>
    <s v="MTMU"/>
    <s v="L"/>
    <n v="70"/>
    <x v="8"/>
    <s v="S硬盘1.2T-2.5SAS-12G10K-128M-XJ V1.0"/>
    <n v="2"/>
    <n v="162"/>
  </r>
  <r>
    <n v="306010451"/>
    <s v="KunTai R722 服务器"/>
    <s v="MTMU"/>
    <s v="L"/>
    <n v="100"/>
    <x v="9"/>
    <s v="高速电缆 Mini SAS HD Cable-0.85m"/>
    <n v="2"/>
    <n v="162"/>
  </r>
  <r>
    <n v="306010451"/>
    <s v="KunTai R722 服务器"/>
    <s v="MTMU"/>
    <s v="L"/>
    <n v="90"/>
    <x v="10"/>
    <s v="RAID标卡9460-8i-2G-PCIe3.0x8 Cache"/>
    <n v="1"/>
    <n v="81"/>
  </r>
  <r>
    <n v="306010451"/>
    <s v="KunTai R722 服务器"/>
    <s v="MTMU"/>
    <s v="L"/>
    <n v="120"/>
    <x v="11"/>
    <s v="网卡 MCX4121A-ACUT 2*25G SFP28-无模"/>
    <n v="2"/>
    <n v="162"/>
  </r>
  <r>
    <n v="306010451"/>
    <s v="KunTai R722 服务器"/>
    <s v="MTMU"/>
    <s v="L"/>
    <n v="110"/>
    <x v="12"/>
    <s v="TM210板载灵活网卡4*1GE-RJ45"/>
    <n v="1"/>
    <n v="81"/>
  </r>
  <r>
    <n v="306010451"/>
    <s v="KunTai R722 服务器"/>
    <s v="MTMU"/>
    <s v="L"/>
    <n v="140"/>
    <x v="13"/>
    <s v="光模块-25G-SFP28-多模-850nm-0.3km-LC-TRC"/>
    <n v="2"/>
    <n v="162"/>
  </r>
  <r>
    <n v="306010451"/>
    <s v="KunTai R722 服务器"/>
    <s v="MTMU"/>
    <s v="L"/>
    <n v="130"/>
    <x v="14"/>
    <s v="光模块-10G-SFP28-多模-850nm-0.3km-LC-COB-TRC"/>
    <n v="2"/>
    <n v="162"/>
  </r>
  <r>
    <n v="306010451"/>
    <s v="KunTai R722 服务器"/>
    <s v="MTMU"/>
    <s v="L"/>
    <n v="160"/>
    <x v="15"/>
    <s v="S电源线PDU国标-C14直公-C13直母-250V10A-1.5m黑-交流"/>
    <n v="2"/>
    <n v="162"/>
  </r>
  <r>
    <n v="306010451"/>
    <s v="KunTai R722 服务器"/>
    <s v="MTMU"/>
    <s v="L"/>
    <n v="150"/>
    <x v="16"/>
    <s v="2U静态滑轨套件"/>
    <n v="1"/>
    <n v="81"/>
  </r>
  <r>
    <n v="306010451"/>
    <s v="KunTai R722 服务器"/>
    <s v="MTMU"/>
    <s v="N"/>
    <n v="180"/>
    <x v="17"/>
    <s v="KunTai R722成套包材"/>
    <n v="1"/>
    <n v="81"/>
  </r>
  <r>
    <n v="306010451"/>
    <s v="KunTai R722 服务器"/>
    <s v="MTMU"/>
    <s v="L"/>
    <n v="170"/>
    <x v="18"/>
    <s v="S电源900W-交流220V-PAC900S12-B3 02314PDL"/>
    <n v="2"/>
    <n v="162"/>
  </r>
  <r>
    <n v="306010451"/>
    <s v="KunTai R722 服务器"/>
    <s v="MTMU"/>
    <s v="L"/>
    <n v="200"/>
    <x v="19"/>
    <s v="移动定制-raid1"/>
    <n v="1"/>
    <n v="81"/>
  </r>
  <r>
    <n v="306010451"/>
    <s v="KunTai R722 服务器"/>
    <s v="MTMU"/>
    <s v="N"/>
    <n v="190"/>
    <x v="20"/>
    <s v="S920S00 VE主板 BIOS 1711BMC  CPLD"/>
    <n v="1"/>
    <n v="81"/>
  </r>
  <r>
    <n v="306010451"/>
    <s v="KunTai R722 服务器"/>
    <s v="MTMU"/>
    <s v="L"/>
    <n v="220"/>
    <x v="21"/>
    <s v="3.5英寸假硬盘托架"/>
    <n v="4"/>
    <n v="324"/>
  </r>
  <r>
    <n v="306010451"/>
    <s v="KunTai R722 服务器"/>
    <s v="MTMU"/>
    <s v="N"/>
    <n v="210"/>
    <x v="22"/>
    <s v="2.5转3.5英寸硬盘托架组合"/>
    <n v="8"/>
    <n v="648"/>
  </r>
  <r>
    <n v="306010451"/>
    <s v="KunTai R722 服务器"/>
    <s v="MTMU"/>
    <s v="L"/>
    <n v="230"/>
    <x v="23"/>
    <s v="PCIe全高挡片-钣金-21122419"/>
    <n v="3"/>
    <n v="24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n v="1"/>
    <s v="305-000160"/>
    <x v="0"/>
    <m/>
    <m/>
    <n v="36"/>
    <m/>
    <m/>
    <m/>
  </r>
  <r>
    <s v="基础物料"/>
    <s v="整机"/>
    <x v="1"/>
    <s v="A924A2典配L6-4*920 2.6G 8*910_4_1 2Nvme 64G"/>
    <n v="1"/>
    <n v="36"/>
    <s v="华为采"/>
    <s v="不指定物料"/>
    <m/>
  </r>
  <r>
    <s v="基础物料"/>
    <m/>
    <x v="2"/>
    <s v="02315HQP-70B_48C@2.6GHz_DS一体机底座"/>
    <n v="1"/>
    <n v="36"/>
    <s v="外采"/>
    <s v="不指定物料"/>
    <m/>
  </r>
  <r>
    <s v="基础物料"/>
    <s v="内存"/>
    <x v="3"/>
    <s v="S内存DDR4-32G-3200-2Rx4-RD HLS V1.0"/>
    <n v="32"/>
    <n v="1152"/>
    <s v="华为采"/>
    <s v="不指定物料"/>
    <m/>
  </r>
  <r>
    <s v="基础物料"/>
    <s v="硬盘"/>
    <x v="4"/>
    <s v="SSD ES3521AV6-960G-SATA-2.5读取HW+2.5托 侧孔"/>
    <n v="2"/>
    <n v="72"/>
    <s v="外采"/>
    <s v="不指定物料"/>
    <m/>
  </r>
  <r>
    <s v="基础物料"/>
    <s v="硬盘"/>
    <x v="5"/>
    <s v="SSD ES3521AV6-1.92T-SATA-6G-2.5读取HW侧孔1.0"/>
    <n v="2"/>
    <n v="72"/>
    <s v="华为采"/>
    <s v="不指定物料"/>
    <m/>
  </r>
  <r>
    <s v="基础物料"/>
    <s v="RAID卡"/>
    <x v="6"/>
    <s v="RAID标卡9560-8i-4G PCIe4.0x8 NMP-HW"/>
    <n v="1"/>
    <n v="36"/>
    <s v="外采"/>
    <s v="不指定物料"/>
    <m/>
  </r>
  <r>
    <s v="基础物料"/>
    <s v="光模块和线缆"/>
    <x v="7"/>
    <s v="SAS线-RAID卡专用1分2 mini SAS-1.0m&amp;0.9m"/>
    <n v="1"/>
    <n v="36"/>
    <s v="华为采"/>
    <s v="不指定物料"/>
    <m/>
  </r>
  <r>
    <s v="基础物料"/>
    <s v="RAID卡"/>
    <x v="8"/>
    <s v="3508/3516 RAID卡超级电容"/>
    <n v="1"/>
    <n v="36"/>
    <s v="华为采"/>
    <s v="不指定物料"/>
    <m/>
  </r>
  <r>
    <s v="基础物料"/>
    <s v="网卡"/>
    <x v="9"/>
    <s v="灵活网卡2*200G接口卡-QSFP56"/>
    <n v="4"/>
    <n v="144"/>
    <s v="华为采"/>
    <s v="不指定物料"/>
    <m/>
  </r>
  <r>
    <s v="基础物料"/>
    <s v="网卡"/>
    <x v="10"/>
    <s v="网卡HP382 25G双口SFP28(Mellanox CX-5) Lx无光模块-全高"/>
    <n v="2"/>
    <n v="72"/>
    <s v="华为采"/>
    <s v="不指定物料"/>
    <m/>
  </r>
  <r>
    <s v="基础物料"/>
    <s v="光模块和线缆"/>
    <x v="11"/>
    <s v="光模块-SFP+-10G-多模(850nm,0.3km,LC)-HX"/>
    <n v="2"/>
    <n v="72"/>
    <s v="华为采"/>
    <s v="不指定物料"/>
    <m/>
  </r>
  <r>
    <s v="基础物料"/>
    <s v="光模块和线缆"/>
    <x v="12"/>
    <s v="光模块-SFP28-25G-多模(850nm,0.1km,LC)-HX"/>
    <n v="2"/>
    <n v="72"/>
    <s v="华为采"/>
    <s v="不指定物料"/>
    <m/>
  </r>
  <r>
    <s v="基础物料"/>
    <s v="昇腾"/>
    <x v="13"/>
    <s v="光模块-200G-QSFP56-多模-850nm-300m-TRC"/>
    <n v="8"/>
    <n v="288"/>
    <s v="华为采"/>
    <s v="不指定物料"/>
    <m/>
  </r>
  <r>
    <s v="辅助料信息"/>
    <s v="标签包装"/>
    <x v="14"/>
    <s v="KunTai A924 服务器标准标签包装"/>
    <n v="1"/>
    <n v="36"/>
    <s v="外采"/>
    <s v="不指定物料"/>
    <m/>
  </r>
  <r>
    <s v="辅助料信息"/>
    <s v="BMC BIOS"/>
    <x v="15"/>
    <s v="A924推理典配BIOS/BMC固件包"/>
    <n v="1"/>
    <n v="36"/>
    <s v="外采"/>
    <s v="不指定物料"/>
    <m/>
  </r>
  <r>
    <n v="2"/>
    <s v="305-000160"/>
    <x v="0"/>
    <m/>
    <m/>
    <n v="9"/>
    <m/>
    <m/>
    <m/>
  </r>
  <r>
    <s v="基础物料"/>
    <s v="整机"/>
    <x v="1"/>
    <s v="A924A2典配L6-4*920 2.6G 8*910_4_1 2Nvme 64G"/>
    <n v="1"/>
    <n v="9"/>
    <s v="华为采"/>
    <s v="不指定物料"/>
    <m/>
  </r>
  <r>
    <s v="基础物料"/>
    <m/>
    <x v="2"/>
    <s v="02315HQP-70B_48C@2.6GHz_DS一体机底座"/>
    <n v="1"/>
    <n v="9"/>
    <s v="外采"/>
    <s v="不指定物料"/>
    <m/>
  </r>
  <r>
    <s v="基础物料"/>
    <s v="内存"/>
    <x v="3"/>
    <s v="S内存DDR4-32G-3200-2Rx4-RD HLS V1.0"/>
    <n v="32"/>
    <n v="288"/>
    <s v="华为采"/>
    <s v="不指定物料"/>
    <m/>
  </r>
  <r>
    <s v="基础物料"/>
    <s v="硬盘"/>
    <x v="4"/>
    <s v="SSD ES3521AV6-960G-SATA-2.5读取HW+2.5托 侧孔"/>
    <n v="2"/>
    <n v="18"/>
    <s v="外采"/>
    <s v="不指定物料"/>
    <m/>
  </r>
  <r>
    <s v="基础物料"/>
    <s v="硬盘"/>
    <x v="5"/>
    <s v="SSD ES3521AV6-1.92T-SATA-6G-2.5读取HW侧孔1.0"/>
    <n v="2"/>
    <n v="18"/>
    <s v="华为采"/>
    <s v="不指定物料"/>
    <m/>
  </r>
  <r>
    <s v="基础物料"/>
    <s v="RAID卡"/>
    <x v="6"/>
    <s v="RAID标卡9560-8i-4G PCIe4.0x8 NMP-HW"/>
    <n v="1"/>
    <n v="9"/>
    <s v="外采"/>
    <s v="不指定物料"/>
    <m/>
  </r>
  <r>
    <s v="基础物料"/>
    <s v="光模块和线缆"/>
    <x v="7"/>
    <s v="SAS线-RAID卡专用1分2 mini SAS-1.0m&amp;0.9m"/>
    <n v="1"/>
    <n v="9"/>
    <s v="华为采"/>
    <s v="不指定物料"/>
    <m/>
  </r>
  <r>
    <s v="基础物料"/>
    <s v="RAID卡"/>
    <x v="8"/>
    <s v="3508/3516 RAID卡超级电容"/>
    <n v="1"/>
    <n v="9"/>
    <s v="华为采"/>
    <s v="不指定物料"/>
    <m/>
  </r>
  <r>
    <s v="基础物料"/>
    <s v="网卡"/>
    <x v="9"/>
    <s v="灵活网卡2*200G接口卡-QSFP56"/>
    <n v="4"/>
    <n v="36"/>
    <s v="华为采"/>
    <s v="不指定物料"/>
    <m/>
  </r>
  <r>
    <s v="基础物料"/>
    <s v="网卡"/>
    <x v="10"/>
    <s v="网卡HP382 25G双口SFP28(Mellanox CX-5) Lx无光模块-全高"/>
    <n v="2"/>
    <n v="18"/>
    <s v="华为采"/>
    <s v="不指定物料"/>
    <m/>
  </r>
  <r>
    <s v="基础物料"/>
    <s v="光模块和线缆"/>
    <x v="11"/>
    <s v="光模块-SFP+-10G-多模(850nm,0.3km,LC)-HX"/>
    <n v="2"/>
    <n v="18"/>
    <s v="华为采"/>
    <s v="不指定物料"/>
    <m/>
  </r>
  <r>
    <s v="基础物料"/>
    <s v="光模块和线缆"/>
    <x v="12"/>
    <s v="光模块-SFP28-25G-多模(850nm,0.1km,LC)-HX"/>
    <n v="2"/>
    <n v="18"/>
    <s v="华为采"/>
    <s v="不指定物料"/>
    <m/>
  </r>
  <r>
    <s v="基础物料"/>
    <s v="昇腾"/>
    <x v="13"/>
    <s v="光模块-200G-QSFP56-多模-850nm-300m-TRC"/>
    <n v="8"/>
    <n v="72"/>
    <s v="华为采"/>
    <s v="不指定物料"/>
    <m/>
  </r>
  <r>
    <s v="辅助料信息"/>
    <s v="标签包装"/>
    <x v="14"/>
    <s v="KunTai A924 服务器标准标签包装"/>
    <n v="1"/>
    <n v="9"/>
    <s v="外采"/>
    <s v="不指定物料"/>
    <m/>
  </r>
  <r>
    <s v="辅助料信息"/>
    <s v="BMC BIOS"/>
    <x v="15"/>
    <s v="A924推理典配BIOS/BMC固件包"/>
    <n v="1"/>
    <n v="9"/>
    <s v="外采"/>
    <s v="不指定物料"/>
    <m/>
  </r>
  <r>
    <n v="3"/>
    <s v="305-000029"/>
    <x v="16"/>
    <m/>
    <m/>
    <n v="628"/>
    <m/>
    <m/>
    <m/>
  </r>
  <r>
    <s v="基础物料"/>
    <s v="机箱"/>
    <x v="17"/>
    <s v="机箱2U2P-12*3.5EXP-S920S00"/>
    <n v="1"/>
    <n v="628"/>
    <s v="华为采"/>
    <s v="不指定物料"/>
    <m/>
  </r>
  <r>
    <s v="基础物料"/>
    <s v="主板"/>
    <x v="18"/>
    <s v="S主板S920S00-2*5220(32C@2.6)-AJ-VE-1711"/>
    <n v="1"/>
    <n v="628"/>
    <s v="华为采"/>
    <s v="不指定物料"/>
    <m/>
  </r>
  <r>
    <s v="基础物料"/>
    <s v="内存"/>
    <x v="3"/>
    <s v="S内存DDR4-32G-3200-2Rx4-RD HLS V1.0"/>
    <n v="12"/>
    <n v="7536"/>
    <s v="华为采"/>
    <s v="不指定物料"/>
    <m/>
  </r>
  <r>
    <s v="基础物料"/>
    <s v="RISER卡"/>
    <x v="19"/>
    <s v="3*16X SLOT (PCIE X8) Riser1&amp;2 模组"/>
    <n v="2"/>
    <n v="1256"/>
    <s v="华为采"/>
    <s v="不指定物料"/>
    <m/>
  </r>
  <r>
    <s v="基础物料"/>
    <s v="硬盘"/>
    <x v="20"/>
    <s v="S硬盘1.2T-2.5SAS-12G10K-128M-DZ V1.1"/>
    <n v="2"/>
    <n v="1256"/>
    <s v="华为采"/>
    <s v="不指定物料"/>
    <m/>
  </r>
  <r>
    <s v="基础物料"/>
    <s v="硬盘"/>
    <x v="5"/>
    <s v="SSD ES3521AV6-1.92T-SATA-6G-2.5读取HW侧孔1.0"/>
    <n v="6"/>
    <n v="3768"/>
    <s v="华为采"/>
    <s v="不指定物料"/>
    <m/>
  </r>
  <r>
    <s v="基础物料"/>
    <s v="RAID卡"/>
    <x v="21"/>
    <s v="RAID标卡-2GB 9460-8i-PCIe"/>
    <n v="1"/>
    <n v="628"/>
    <s v="外采"/>
    <s v="不指定物料"/>
    <m/>
  </r>
  <r>
    <s v="基础物料"/>
    <m/>
    <x v="22"/>
    <s v="高速电缆 Mini SAS HCable-0.85m"/>
    <n v="2"/>
    <n v="1256"/>
    <s v="华为采"/>
    <s v="不指定物料"/>
    <m/>
  </r>
  <r>
    <s v="基础物料"/>
    <s v="RAID卡"/>
    <x v="8"/>
    <s v="3508/3516 RAID卡超级电容"/>
    <n v="1"/>
    <n v="628"/>
    <s v="华为采"/>
    <s v="不指定物料"/>
    <m/>
  </r>
  <r>
    <s v="基础物料"/>
    <s v="网卡"/>
    <x v="23"/>
    <s v="TM210板载灵活网卡4*1GE-RJ45"/>
    <n v="1"/>
    <n v="628"/>
    <s v="外采"/>
    <s v="不指定物料"/>
    <m/>
  </r>
  <r>
    <s v="基础物料"/>
    <s v="网卡"/>
    <x v="24"/>
    <s v="网卡 MCX4121A-ACUT 25G双口SFP28"/>
    <n v="2"/>
    <n v="1256"/>
    <s v="外采"/>
    <s v="不指定物料"/>
    <m/>
  </r>
  <r>
    <s v="基础物料"/>
    <s v="光模块和线缆"/>
    <x v="12"/>
    <s v="光模块-SFP28-25G-多模(850nm,0.1km,LC)-HX"/>
    <n v="2"/>
    <n v="1256"/>
    <s v="华为采"/>
    <s v="不指定物料"/>
    <m/>
  </r>
  <r>
    <s v="基础物料"/>
    <s v="光模块和线缆"/>
    <x v="11"/>
    <s v="光模块-SFP+-10G-多模(850nm,0.3km,LC)-HX"/>
    <n v="2"/>
    <n v="1256"/>
    <s v="华为采"/>
    <s v="不指定物料"/>
    <m/>
  </r>
  <r>
    <s v="基础物料"/>
    <m/>
    <x v="25"/>
    <s v="2U静态滑轨套件"/>
    <n v="1"/>
    <n v="628"/>
    <s v="外采"/>
    <s v="不指定物料"/>
    <m/>
  </r>
  <r>
    <s v="基础物料"/>
    <m/>
    <x v="26"/>
    <s v="服务器PAC900S12-B3 900W 3.0 版本交流电源"/>
    <n v="2"/>
    <n v="1256"/>
    <s v="华为采"/>
    <s v="不指定物料"/>
    <m/>
  </r>
  <r>
    <s v="基础物料"/>
    <s v="电源和电源线"/>
    <x v="27"/>
    <s v="S电源线PDU国标-C14直公-C13直母-250V10A-1.5m黑-交流"/>
    <n v="2"/>
    <n v="1256"/>
    <s v="华为采"/>
    <s v="不指定物料"/>
    <m/>
  </r>
  <r>
    <s v="辅助料信息"/>
    <s v="标签包装"/>
    <x v="28"/>
    <s v="KunTai R722 服务器标准标签包装"/>
    <n v="1"/>
    <n v="628"/>
    <s v="外采"/>
    <s v="不指定物料"/>
    <m/>
  </r>
  <r>
    <s v="辅助料信息"/>
    <s v="鲲鹏"/>
    <x v="29"/>
    <s v="S920S00？VE主板 BIOS 1711BMC  CPLD"/>
    <n v="1"/>
    <n v="628"/>
    <s v="外采"/>
    <s v="不指定物料"/>
    <m/>
  </r>
  <r>
    <s v="服务类信息"/>
    <s v="鲲泰服务器维保服务"/>
    <x v="30"/>
    <s v="鲲泰服务器维保服务：金牌+服务包-2U-5年,7*24*4H"/>
    <n v="1"/>
    <n v="628"/>
    <s v="外采"/>
    <s v="不指定物料"/>
    <m/>
  </r>
  <r>
    <s v="服务类信息"/>
    <s v="硬盘介质保留服务"/>
    <x v="31"/>
    <s v="鲲泰服务器硬盘介质保留-2U-5年"/>
    <n v="1"/>
    <n v="628"/>
    <s v="外采"/>
    <s v="不指定物料"/>
    <m/>
  </r>
  <r>
    <s v="服务类信息"/>
    <s v="整机安装服务"/>
    <x v="32"/>
    <s v="鲲泰服务器基础硬件安装服务-2U"/>
    <n v="1"/>
    <n v="628"/>
    <s v="外采"/>
    <s v="不指定物料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54AFE0-4B2B-46F4-8177-2ED1B7CBD0A7}" name="数据透视表1" cacheId="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B37" firstHeaderRow="1" firstDataRow="1" firstDataCol="1"/>
  <pivotFields count="9">
    <pivotField showAll="0"/>
    <pivotField showAll="0"/>
    <pivotField axis="axisRow" showAll="0">
      <items count="65">
        <item m="1" x="50"/>
        <item m="1" x="56"/>
        <item m="1" x="58"/>
        <item m="1" x="53"/>
        <item m="1" x="55"/>
        <item m="1" x="51"/>
        <item m="1" x="52"/>
        <item m="1" x="37"/>
        <item m="1" x="49"/>
        <item m="1" x="35"/>
        <item m="1" x="40"/>
        <item m="1" x="39"/>
        <item m="1" x="54"/>
        <item m="1" x="36"/>
        <item m="1" x="38"/>
        <item m="1" x="48"/>
        <item m="1" x="43"/>
        <item m="1" x="44"/>
        <item m="1" x="42"/>
        <item m="1" x="41"/>
        <item m="1" x="57"/>
        <item m="1" x="45"/>
        <item m="1" x="33"/>
        <item m="1" x="60"/>
        <item m="1" x="34"/>
        <item m="1" x="47"/>
        <item m="1" x="59"/>
        <item m="1" x="46"/>
        <item m="1" x="63"/>
        <item m="1" x="61"/>
        <item m="1" x="62"/>
        <item x="0"/>
        <item x="16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34"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 t="grand">
      <x/>
    </i>
  </rowItems>
  <colItems count="1">
    <i/>
  </colItems>
  <dataFields count="1">
    <dataField name="求和项:总数量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0678C3-A073-4512-8734-5D2CAE19753D}" name="数据透视表2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B10" firstHeaderRow="1" firstDataRow="1" firstDataCol="1"/>
  <pivotFields count="7">
    <pivotField showAll="0"/>
    <pivotField showAll="0"/>
    <pivotField showAll="0"/>
    <pivotField showAll="0"/>
    <pivotField axis="axisRow" showAll="0">
      <items count="7">
        <item x="0"/>
        <item x="5"/>
        <item x="4"/>
        <item x="3"/>
        <item x="2"/>
        <item x="1"/>
        <item t="default"/>
      </items>
    </pivotField>
    <pivotField showAll="0"/>
    <pivotField dataField="1"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求和项:数量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D38528-13F3-42EA-BDC7-3D1927F1C197}" name="数据透视表3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B45" firstHeaderRow="1" firstDataRow="1" firstDataCol="1"/>
  <pivotFields count="9">
    <pivotField showAll="0"/>
    <pivotField showAll="0"/>
    <pivotField showAll="0"/>
    <pivotField showAll="0"/>
    <pivotField showAll="0"/>
    <pivotField axis="axisRow" showAll="0">
      <items count="42">
        <item x="22"/>
        <item x="24"/>
        <item x="20"/>
        <item x="3"/>
        <item x="28"/>
        <item x="25"/>
        <item x="2"/>
        <item x="17"/>
        <item x="38"/>
        <item x="16"/>
        <item x="15"/>
        <item x="9"/>
        <item x="21"/>
        <item x="5"/>
        <item x="23"/>
        <item x="8"/>
        <item x="11"/>
        <item x="26"/>
        <item x="10"/>
        <item x="30"/>
        <item x="1"/>
        <item x="32"/>
        <item x="12"/>
        <item x="31"/>
        <item x="13"/>
        <item x="35"/>
        <item x="7"/>
        <item x="6"/>
        <item x="40"/>
        <item x="14"/>
        <item x="33"/>
        <item x="34"/>
        <item x="18"/>
        <item x="36"/>
        <item x="37"/>
        <item x="29"/>
        <item x="39"/>
        <item x="4"/>
        <item x="27"/>
        <item x="19"/>
        <item x="0"/>
        <item t="default"/>
      </items>
    </pivotField>
    <pivotField showAll="0"/>
    <pivotField showAll="0"/>
    <pivotField dataField="1" showAll="0"/>
  </pivotFields>
  <rowFields count="1">
    <field x="5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Items count="1">
    <i/>
  </colItems>
  <dataFields count="1">
    <dataField name="求和项:总数量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C0DF0-2487-476D-9516-82E9440BA1E5}">
  <sheetPr>
    <tabColor rgb="FFC00000"/>
  </sheetPr>
  <dimension ref="A1:D10"/>
  <sheetViews>
    <sheetView workbookViewId="0">
      <selection activeCell="A8" sqref="A8"/>
    </sheetView>
  </sheetViews>
  <sheetFormatPr defaultRowHeight="14" x14ac:dyDescent="0.3"/>
  <cols>
    <col min="1" max="1" width="34.58203125" bestFit="1" customWidth="1"/>
    <col min="2" max="2" width="89.33203125" customWidth="1"/>
  </cols>
  <sheetData>
    <row r="1" spans="1:4" x14ac:dyDescent="0.3">
      <c r="A1" s="6" t="s">
        <v>152</v>
      </c>
      <c r="B1" s="12" t="s">
        <v>153</v>
      </c>
    </row>
    <row r="2" spans="1:4" ht="15.5" x14ac:dyDescent="0.35">
      <c r="A2" s="13" t="s">
        <v>140</v>
      </c>
      <c r="B2" s="11" t="s">
        <v>154</v>
      </c>
    </row>
    <row r="3" spans="1:4" ht="15.5" x14ac:dyDescent="0.35">
      <c r="A3" s="11" t="s">
        <v>141</v>
      </c>
      <c r="B3" s="11" t="s">
        <v>146</v>
      </c>
    </row>
    <row r="4" spans="1:4" ht="15.5" x14ac:dyDescent="0.35">
      <c r="A4" s="13" t="s">
        <v>142</v>
      </c>
      <c r="B4" s="11" t="s">
        <v>139</v>
      </c>
      <c r="D4" s="15" t="s">
        <v>155</v>
      </c>
    </row>
    <row r="5" spans="1:4" ht="15.5" x14ac:dyDescent="0.35">
      <c r="A5" s="11" t="s">
        <v>143</v>
      </c>
      <c r="B5" s="11" t="s">
        <v>147</v>
      </c>
    </row>
    <row r="6" spans="1:4" ht="15.5" x14ac:dyDescent="0.35">
      <c r="A6" s="13" t="s">
        <v>144</v>
      </c>
      <c r="B6" s="11" t="s">
        <v>157</v>
      </c>
      <c r="D6" t="s">
        <v>156</v>
      </c>
    </row>
    <row r="7" spans="1:4" ht="15.5" x14ac:dyDescent="0.35">
      <c r="A7" s="11" t="s">
        <v>145</v>
      </c>
      <c r="B7" s="11" t="s">
        <v>148</v>
      </c>
    </row>
    <row r="8" spans="1:4" ht="15.5" x14ac:dyDescent="0.35">
      <c r="A8" s="14" t="s">
        <v>149</v>
      </c>
      <c r="B8" s="11" t="s">
        <v>150</v>
      </c>
    </row>
    <row r="10" spans="1:4" ht="42" x14ac:dyDescent="0.3">
      <c r="B10" s="18" t="s">
        <v>159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workbookViewId="0">
      <selection activeCell="I1" sqref="I1"/>
    </sheetView>
  </sheetViews>
  <sheetFormatPr defaultRowHeight="14" x14ac:dyDescent="0.3"/>
  <cols>
    <col min="1" max="1" width="9.58203125" bestFit="1" customWidth="1"/>
    <col min="2" max="2" width="16.75" bestFit="1" customWidth="1"/>
    <col min="3" max="3" width="11.33203125" bestFit="1" customWidth="1"/>
    <col min="4" max="4" width="51" bestFit="1" customWidth="1"/>
    <col min="8" max="8" width="11.33203125" bestFit="1" customWidth="1"/>
  </cols>
  <sheetData>
    <row r="1" spans="1:9" ht="14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160</v>
      </c>
      <c r="F1" s="1" t="s">
        <v>135</v>
      </c>
      <c r="G1" s="1" t="s">
        <v>161</v>
      </c>
      <c r="H1" s="1" t="s">
        <v>162</v>
      </c>
      <c r="I1" s="1" t="s">
        <v>163</v>
      </c>
    </row>
    <row r="2" spans="1:9" ht="14.5" x14ac:dyDescent="0.3">
      <c r="A2" s="1">
        <v>1</v>
      </c>
      <c r="B2" s="1" t="s">
        <v>158</v>
      </c>
      <c r="C2" s="1" t="s">
        <v>59</v>
      </c>
      <c r="D2" s="1"/>
      <c r="E2" s="1"/>
      <c r="F2" s="1">
        <v>36</v>
      </c>
      <c r="G2" s="1"/>
      <c r="H2" s="1"/>
      <c r="I2" s="1"/>
    </row>
    <row r="3" spans="1:9" ht="14.5" x14ac:dyDescent="0.3">
      <c r="A3" s="2" t="s">
        <v>4</v>
      </c>
      <c r="B3" s="2" t="s">
        <v>5</v>
      </c>
      <c r="C3" s="2">
        <v>304000492</v>
      </c>
      <c r="D3" s="2" t="s">
        <v>6</v>
      </c>
      <c r="E3" s="2">
        <v>1</v>
      </c>
      <c r="F3" s="2">
        <v>36</v>
      </c>
      <c r="G3" s="2" t="s">
        <v>7</v>
      </c>
      <c r="H3" s="2" t="s">
        <v>8</v>
      </c>
      <c r="I3" s="2"/>
    </row>
    <row r="4" spans="1:9" ht="14.5" x14ac:dyDescent="0.3">
      <c r="A4" s="2" t="s">
        <v>4</v>
      </c>
      <c r="B4" s="2"/>
      <c r="C4" s="2">
        <v>68000310</v>
      </c>
      <c r="D4" s="2" t="s">
        <v>9</v>
      </c>
      <c r="E4" s="2">
        <v>1</v>
      </c>
      <c r="F4" s="2">
        <v>36</v>
      </c>
      <c r="G4" s="2" t="s">
        <v>10</v>
      </c>
      <c r="H4" s="2" t="s">
        <v>8</v>
      </c>
      <c r="I4" s="2"/>
    </row>
    <row r="5" spans="1:9" ht="14.5" x14ac:dyDescent="0.3">
      <c r="A5" s="2" t="s">
        <v>4</v>
      </c>
      <c r="B5" s="2" t="s">
        <v>11</v>
      </c>
      <c r="C5" s="2">
        <v>302001644</v>
      </c>
      <c r="D5" s="2" t="s">
        <v>12</v>
      </c>
      <c r="E5" s="2">
        <v>32</v>
      </c>
      <c r="F5" s="2">
        <v>1152</v>
      </c>
      <c r="G5" s="2" t="s">
        <v>7</v>
      </c>
      <c r="H5" s="2" t="s">
        <v>8</v>
      </c>
      <c r="I5" s="2"/>
    </row>
    <row r="6" spans="1:9" ht="14.5" x14ac:dyDescent="0.3">
      <c r="A6" s="2" t="s">
        <v>4</v>
      </c>
      <c r="B6" s="2" t="s">
        <v>13</v>
      </c>
      <c r="C6" s="2">
        <v>302002092</v>
      </c>
      <c r="D6" s="2" t="s">
        <v>14</v>
      </c>
      <c r="E6" s="2">
        <v>2</v>
      </c>
      <c r="F6" s="2">
        <v>72</v>
      </c>
      <c r="G6" s="2" t="s">
        <v>10</v>
      </c>
      <c r="H6" s="2" t="s">
        <v>8</v>
      </c>
      <c r="I6" s="2"/>
    </row>
    <row r="7" spans="1:9" ht="14.5" x14ac:dyDescent="0.3">
      <c r="A7" s="2" t="s">
        <v>4</v>
      </c>
      <c r="B7" s="2" t="s">
        <v>13</v>
      </c>
      <c r="C7" s="2">
        <v>302001354</v>
      </c>
      <c r="D7" s="2" t="s">
        <v>15</v>
      </c>
      <c r="E7" s="2">
        <v>2</v>
      </c>
      <c r="F7" s="2">
        <v>72</v>
      </c>
      <c r="G7" s="2" t="s">
        <v>7</v>
      </c>
      <c r="H7" s="2" t="s">
        <v>8</v>
      </c>
      <c r="I7" s="2"/>
    </row>
    <row r="8" spans="1:9" ht="14.5" x14ac:dyDescent="0.3">
      <c r="A8" s="2" t="s">
        <v>4</v>
      </c>
      <c r="B8" s="2" t="s">
        <v>16</v>
      </c>
      <c r="C8" s="2">
        <v>302002612</v>
      </c>
      <c r="D8" s="2" t="s">
        <v>17</v>
      </c>
      <c r="E8" s="2">
        <v>1</v>
      </c>
      <c r="F8" s="2">
        <v>36</v>
      </c>
      <c r="G8" s="2" t="s">
        <v>10</v>
      </c>
      <c r="H8" s="2" t="s">
        <v>8</v>
      </c>
      <c r="I8" s="2"/>
    </row>
    <row r="9" spans="1:9" ht="14.5" x14ac:dyDescent="0.3">
      <c r="A9" s="2" t="s">
        <v>4</v>
      </c>
      <c r="B9" s="2" t="s">
        <v>18</v>
      </c>
      <c r="C9" s="2">
        <v>302001844</v>
      </c>
      <c r="D9" s="2" t="s">
        <v>19</v>
      </c>
      <c r="E9" s="2">
        <v>1</v>
      </c>
      <c r="F9" s="2">
        <v>36</v>
      </c>
      <c r="G9" s="2" t="s">
        <v>7</v>
      </c>
      <c r="H9" s="2" t="s">
        <v>8</v>
      </c>
      <c r="I9" s="2"/>
    </row>
    <row r="10" spans="1:9" ht="14.5" x14ac:dyDescent="0.3">
      <c r="A10" s="2" t="s">
        <v>4</v>
      </c>
      <c r="B10" s="2" t="s">
        <v>16</v>
      </c>
      <c r="C10" s="2">
        <v>302001655</v>
      </c>
      <c r="D10" s="2" t="s">
        <v>20</v>
      </c>
      <c r="E10" s="2">
        <v>1</v>
      </c>
      <c r="F10" s="2">
        <v>36</v>
      </c>
      <c r="G10" s="2" t="s">
        <v>7</v>
      </c>
      <c r="H10" s="2" t="s">
        <v>8</v>
      </c>
      <c r="I10" s="2"/>
    </row>
    <row r="11" spans="1:9" ht="14.5" x14ac:dyDescent="0.3">
      <c r="A11" s="2" t="s">
        <v>4</v>
      </c>
      <c r="B11" s="2" t="s">
        <v>21</v>
      </c>
      <c r="C11" s="2">
        <v>302003912</v>
      </c>
      <c r="D11" s="2" t="s">
        <v>22</v>
      </c>
      <c r="E11" s="2">
        <v>4</v>
      </c>
      <c r="F11" s="2">
        <v>144</v>
      </c>
      <c r="G11" s="2" t="s">
        <v>7</v>
      </c>
      <c r="H11" s="2" t="s">
        <v>8</v>
      </c>
      <c r="I11" s="2"/>
    </row>
    <row r="12" spans="1:9" ht="14.5" x14ac:dyDescent="0.3">
      <c r="A12" s="2" t="s">
        <v>4</v>
      </c>
      <c r="B12" s="2" t="s">
        <v>21</v>
      </c>
      <c r="C12" s="2">
        <v>302003302</v>
      </c>
      <c r="D12" s="2" t="s">
        <v>23</v>
      </c>
      <c r="E12" s="2">
        <v>2</v>
      </c>
      <c r="F12" s="2">
        <v>72</v>
      </c>
      <c r="G12" s="2" t="s">
        <v>7</v>
      </c>
      <c r="H12" s="2" t="s">
        <v>8</v>
      </c>
      <c r="I12" s="2"/>
    </row>
    <row r="13" spans="1:9" ht="14.5" x14ac:dyDescent="0.3">
      <c r="A13" s="2" t="s">
        <v>4</v>
      </c>
      <c r="B13" s="2" t="s">
        <v>18</v>
      </c>
      <c r="C13" s="2">
        <v>302003131</v>
      </c>
      <c r="D13" s="2" t="s">
        <v>24</v>
      </c>
      <c r="E13" s="2">
        <v>2</v>
      </c>
      <c r="F13" s="2">
        <v>72</v>
      </c>
      <c r="G13" s="2" t="s">
        <v>7</v>
      </c>
      <c r="H13" s="2" t="s">
        <v>8</v>
      </c>
      <c r="I13" s="2"/>
    </row>
    <row r="14" spans="1:9" ht="14.5" x14ac:dyDescent="0.3">
      <c r="A14" s="2" t="s">
        <v>4</v>
      </c>
      <c r="B14" s="2" t="s">
        <v>18</v>
      </c>
      <c r="C14" s="2">
        <v>302003132</v>
      </c>
      <c r="D14" s="2" t="s">
        <v>25</v>
      </c>
      <c r="E14" s="2">
        <v>2</v>
      </c>
      <c r="F14" s="2">
        <v>72</v>
      </c>
      <c r="G14" s="2" t="s">
        <v>7</v>
      </c>
      <c r="H14" s="2" t="s">
        <v>8</v>
      </c>
      <c r="I14" s="2"/>
    </row>
    <row r="15" spans="1:9" ht="14.5" x14ac:dyDescent="0.3">
      <c r="A15" s="2" t="s">
        <v>4</v>
      </c>
      <c r="B15" s="2" t="s">
        <v>26</v>
      </c>
      <c r="C15" s="2">
        <v>302004291</v>
      </c>
      <c r="D15" s="2" t="s">
        <v>27</v>
      </c>
      <c r="E15" s="2">
        <v>8</v>
      </c>
      <c r="F15" s="2">
        <v>288</v>
      </c>
      <c r="G15" s="2" t="s">
        <v>7</v>
      </c>
      <c r="H15" s="2" t="s">
        <v>8</v>
      </c>
      <c r="I15" s="2"/>
    </row>
    <row r="16" spans="1:9" ht="14.5" x14ac:dyDescent="0.3">
      <c r="A16" s="2" t="s">
        <v>28</v>
      </c>
      <c r="B16" s="2" t="s">
        <v>29</v>
      </c>
      <c r="C16" s="2">
        <v>69001318</v>
      </c>
      <c r="D16" s="2" t="s">
        <v>30</v>
      </c>
      <c r="E16" s="2">
        <v>1</v>
      </c>
      <c r="F16" s="2">
        <v>36</v>
      </c>
      <c r="G16" s="2" t="s">
        <v>10</v>
      </c>
      <c r="H16" s="2" t="s">
        <v>8</v>
      </c>
      <c r="I16" s="2"/>
    </row>
    <row r="17" spans="1:9" ht="14.5" x14ac:dyDescent="0.3">
      <c r="A17" s="2" t="s">
        <v>28</v>
      </c>
      <c r="B17" s="2" t="s">
        <v>31</v>
      </c>
      <c r="C17" s="2">
        <v>68000324</v>
      </c>
      <c r="D17" s="2" t="s">
        <v>32</v>
      </c>
      <c r="E17" s="2">
        <v>1</v>
      </c>
      <c r="F17" s="2">
        <v>36</v>
      </c>
      <c r="G17" s="2" t="s">
        <v>10</v>
      </c>
      <c r="H17" s="2" t="s">
        <v>8</v>
      </c>
      <c r="I17" s="2"/>
    </row>
    <row r="18" spans="1:9" ht="14.5" x14ac:dyDescent="0.3">
      <c r="A18" s="3">
        <v>2</v>
      </c>
      <c r="B18" s="1" t="s">
        <v>58</v>
      </c>
      <c r="C18" s="1" t="s">
        <v>59</v>
      </c>
      <c r="D18" s="2"/>
      <c r="E18" s="2"/>
      <c r="F18" s="3">
        <v>9</v>
      </c>
      <c r="G18" s="2"/>
      <c r="H18" s="2"/>
      <c r="I18" s="2"/>
    </row>
    <row r="19" spans="1:9" ht="14.5" x14ac:dyDescent="0.3">
      <c r="A19" s="2" t="s">
        <v>4</v>
      </c>
      <c r="B19" s="2" t="s">
        <v>5</v>
      </c>
      <c r="C19" s="2">
        <v>304000492</v>
      </c>
      <c r="D19" s="2" t="s">
        <v>6</v>
      </c>
      <c r="E19" s="2">
        <v>1</v>
      </c>
      <c r="F19" s="2">
        <v>9</v>
      </c>
      <c r="G19" s="2" t="s">
        <v>7</v>
      </c>
      <c r="H19" s="2" t="s">
        <v>8</v>
      </c>
      <c r="I19" s="2"/>
    </row>
    <row r="20" spans="1:9" ht="14.5" x14ac:dyDescent="0.3">
      <c r="A20" s="2" t="s">
        <v>4</v>
      </c>
      <c r="B20" s="2"/>
      <c r="C20" s="2">
        <v>68000310</v>
      </c>
      <c r="D20" s="2" t="s">
        <v>9</v>
      </c>
      <c r="E20" s="2">
        <v>1</v>
      </c>
      <c r="F20" s="2">
        <v>9</v>
      </c>
      <c r="G20" s="2" t="s">
        <v>10</v>
      </c>
      <c r="H20" s="2" t="s">
        <v>8</v>
      </c>
      <c r="I20" s="2"/>
    </row>
    <row r="21" spans="1:9" ht="14.5" x14ac:dyDescent="0.3">
      <c r="A21" s="2" t="s">
        <v>4</v>
      </c>
      <c r="B21" s="2" t="s">
        <v>11</v>
      </c>
      <c r="C21" s="2">
        <v>302001644</v>
      </c>
      <c r="D21" s="2" t="s">
        <v>12</v>
      </c>
      <c r="E21" s="2">
        <v>32</v>
      </c>
      <c r="F21" s="2">
        <v>288</v>
      </c>
      <c r="G21" s="2" t="s">
        <v>7</v>
      </c>
      <c r="H21" s="2" t="s">
        <v>8</v>
      </c>
      <c r="I21" s="2"/>
    </row>
    <row r="22" spans="1:9" ht="14.5" x14ac:dyDescent="0.3">
      <c r="A22" s="2" t="s">
        <v>4</v>
      </c>
      <c r="B22" s="2" t="s">
        <v>13</v>
      </c>
      <c r="C22" s="2">
        <v>302002092</v>
      </c>
      <c r="D22" s="2" t="s">
        <v>14</v>
      </c>
      <c r="E22" s="2">
        <v>2</v>
      </c>
      <c r="F22" s="2">
        <v>18</v>
      </c>
      <c r="G22" s="2" t="s">
        <v>10</v>
      </c>
      <c r="H22" s="2" t="s">
        <v>8</v>
      </c>
      <c r="I22" s="2"/>
    </row>
    <row r="23" spans="1:9" ht="14.5" x14ac:dyDescent="0.3">
      <c r="A23" s="2" t="s">
        <v>4</v>
      </c>
      <c r="B23" s="2" t="s">
        <v>13</v>
      </c>
      <c r="C23" s="2">
        <v>302001354</v>
      </c>
      <c r="D23" s="2" t="s">
        <v>15</v>
      </c>
      <c r="E23" s="2">
        <v>2</v>
      </c>
      <c r="F23" s="2">
        <v>18</v>
      </c>
      <c r="G23" s="2" t="s">
        <v>7</v>
      </c>
      <c r="H23" s="2" t="s">
        <v>8</v>
      </c>
      <c r="I23" s="2"/>
    </row>
    <row r="24" spans="1:9" ht="14.5" x14ac:dyDescent="0.3">
      <c r="A24" s="2" t="s">
        <v>4</v>
      </c>
      <c r="B24" s="2" t="s">
        <v>16</v>
      </c>
      <c r="C24" s="2">
        <v>302002612</v>
      </c>
      <c r="D24" s="2" t="s">
        <v>17</v>
      </c>
      <c r="E24" s="2">
        <v>1</v>
      </c>
      <c r="F24" s="2">
        <v>9</v>
      </c>
      <c r="G24" s="2" t="s">
        <v>10</v>
      </c>
      <c r="H24" s="2" t="s">
        <v>8</v>
      </c>
      <c r="I24" s="2"/>
    </row>
    <row r="25" spans="1:9" ht="14.5" x14ac:dyDescent="0.3">
      <c r="A25" s="2" t="s">
        <v>4</v>
      </c>
      <c r="B25" s="2" t="s">
        <v>18</v>
      </c>
      <c r="C25" s="2">
        <v>302001844</v>
      </c>
      <c r="D25" s="2" t="s">
        <v>19</v>
      </c>
      <c r="E25" s="2">
        <v>1</v>
      </c>
      <c r="F25" s="2">
        <v>9</v>
      </c>
      <c r="G25" s="2" t="s">
        <v>7</v>
      </c>
      <c r="H25" s="2" t="s">
        <v>8</v>
      </c>
      <c r="I25" s="2"/>
    </row>
    <row r="26" spans="1:9" ht="14.5" x14ac:dyDescent="0.3">
      <c r="A26" s="2" t="s">
        <v>4</v>
      </c>
      <c r="B26" s="2" t="s">
        <v>16</v>
      </c>
      <c r="C26" s="2">
        <v>302001655</v>
      </c>
      <c r="D26" s="2" t="s">
        <v>20</v>
      </c>
      <c r="E26" s="2">
        <v>1</v>
      </c>
      <c r="F26" s="2">
        <v>9</v>
      </c>
      <c r="G26" s="2" t="s">
        <v>7</v>
      </c>
      <c r="H26" s="2" t="s">
        <v>8</v>
      </c>
      <c r="I26" s="2"/>
    </row>
    <row r="27" spans="1:9" ht="14.5" x14ac:dyDescent="0.3">
      <c r="A27" s="2" t="s">
        <v>4</v>
      </c>
      <c r="B27" s="2" t="s">
        <v>21</v>
      </c>
      <c r="C27" s="2">
        <v>302003912</v>
      </c>
      <c r="D27" s="2" t="s">
        <v>22</v>
      </c>
      <c r="E27" s="2">
        <v>4</v>
      </c>
      <c r="F27" s="2">
        <v>36</v>
      </c>
      <c r="G27" s="2" t="s">
        <v>7</v>
      </c>
      <c r="H27" s="2" t="s">
        <v>8</v>
      </c>
      <c r="I27" s="2"/>
    </row>
    <row r="28" spans="1:9" ht="14.5" x14ac:dyDescent="0.3">
      <c r="A28" s="2" t="s">
        <v>4</v>
      </c>
      <c r="B28" s="2" t="s">
        <v>21</v>
      </c>
      <c r="C28" s="2">
        <v>302003302</v>
      </c>
      <c r="D28" s="2" t="s">
        <v>23</v>
      </c>
      <c r="E28" s="2">
        <v>2</v>
      </c>
      <c r="F28" s="2">
        <v>18</v>
      </c>
      <c r="G28" s="2" t="s">
        <v>7</v>
      </c>
      <c r="H28" s="2" t="s">
        <v>8</v>
      </c>
      <c r="I28" s="2"/>
    </row>
    <row r="29" spans="1:9" ht="14.5" x14ac:dyDescent="0.3">
      <c r="A29" s="2" t="s">
        <v>4</v>
      </c>
      <c r="B29" s="2" t="s">
        <v>18</v>
      </c>
      <c r="C29" s="2">
        <v>302003131</v>
      </c>
      <c r="D29" s="2" t="s">
        <v>24</v>
      </c>
      <c r="E29" s="2">
        <v>2</v>
      </c>
      <c r="F29" s="2">
        <v>18</v>
      </c>
      <c r="G29" s="2" t="s">
        <v>7</v>
      </c>
      <c r="H29" s="2" t="s">
        <v>8</v>
      </c>
      <c r="I29" s="2"/>
    </row>
    <row r="30" spans="1:9" ht="14.5" x14ac:dyDescent="0.3">
      <c r="A30" s="2" t="s">
        <v>4</v>
      </c>
      <c r="B30" s="2" t="s">
        <v>18</v>
      </c>
      <c r="C30" s="2">
        <v>302003132</v>
      </c>
      <c r="D30" s="2" t="s">
        <v>25</v>
      </c>
      <c r="E30" s="2">
        <v>2</v>
      </c>
      <c r="F30" s="2">
        <v>18</v>
      </c>
      <c r="G30" s="2" t="s">
        <v>7</v>
      </c>
      <c r="H30" s="2" t="s">
        <v>8</v>
      </c>
      <c r="I30" s="2"/>
    </row>
    <row r="31" spans="1:9" ht="14.5" x14ac:dyDescent="0.3">
      <c r="A31" s="2" t="s">
        <v>4</v>
      </c>
      <c r="B31" s="2" t="s">
        <v>26</v>
      </c>
      <c r="C31" s="2">
        <v>302004291</v>
      </c>
      <c r="D31" s="2" t="s">
        <v>27</v>
      </c>
      <c r="E31" s="2">
        <v>8</v>
      </c>
      <c r="F31" s="2">
        <v>72</v>
      </c>
      <c r="G31" s="2" t="s">
        <v>7</v>
      </c>
      <c r="H31" s="2" t="s">
        <v>8</v>
      </c>
      <c r="I31" s="2"/>
    </row>
    <row r="32" spans="1:9" ht="14.5" x14ac:dyDescent="0.3">
      <c r="A32" s="2" t="s">
        <v>28</v>
      </c>
      <c r="B32" s="2" t="s">
        <v>29</v>
      </c>
      <c r="C32" s="2">
        <v>69001318</v>
      </c>
      <c r="D32" s="2" t="s">
        <v>30</v>
      </c>
      <c r="E32" s="2">
        <v>1</v>
      </c>
      <c r="F32" s="2">
        <v>9</v>
      </c>
      <c r="G32" s="2" t="s">
        <v>10</v>
      </c>
      <c r="H32" s="2" t="s">
        <v>8</v>
      </c>
      <c r="I32" s="2"/>
    </row>
    <row r="33" spans="1:9" ht="14.5" x14ac:dyDescent="0.3">
      <c r="A33" s="2" t="s">
        <v>28</v>
      </c>
      <c r="B33" s="2" t="s">
        <v>31</v>
      </c>
      <c r="C33" s="2">
        <v>68000324</v>
      </c>
      <c r="D33" s="2" t="s">
        <v>32</v>
      </c>
      <c r="E33" s="2">
        <v>1</v>
      </c>
      <c r="F33" s="2">
        <v>9</v>
      </c>
      <c r="G33" s="2" t="s">
        <v>10</v>
      </c>
      <c r="H33" s="2" t="s">
        <v>8</v>
      </c>
      <c r="I33" s="2"/>
    </row>
    <row r="34" spans="1:9" ht="14.5" x14ac:dyDescent="0.3">
      <c r="A34" s="3">
        <v>3</v>
      </c>
      <c r="B34" s="3" t="s">
        <v>60</v>
      </c>
      <c r="C34" s="3" t="s">
        <v>62</v>
      </c>
      <c r="D34" s="2"/>
      <c r="E34" s="2"/>
      <c r="F34" s="3">
        <v>628</v>
      </c>
      <c r="G34" s="2"/>
      <c r="H34" s="2"/>
      <c r="I34" s="2"/>
    </row>
    <row r="35" spans="1:9" ht="14.5" x14ac:dyDescent="0.3">
      <c r="A35" s="2" t="s">
        <v>4</v>
      </c>
      <c r="B35" s="2" t="s">
        <v>33</v>
      </c>
      <c r="C35" s="2">
        <v>302003095</v>
      </c>
      <c r="D35" s="2" t="s">
        <v>34</v>
      </c>
      <c r="E35" s="2">
        <v>1</v>
      </c>
      <c r="F35" s="2">
        <v>628</v>
      </c>
      <c r="G35" s="2" t="s">
        <v>7</v>
      </c>
      <c r="H35" s="2" t="s">
        <v>8</v>
      </c>
      <c r="I35" s="2"/>
    </row>
    <row r="36" spans="1:9" ht="14.5" x14ac:dyDescent="0.3">
      <c r="A36" s="2" t="s">
        <v>4</v>
      </c>
      <c r="B36" s="2" t="s">
        <v>35</v>
      </c>
      <c r="C36" s="2">
        <v>302001363</v>
      </c>
      <c r="D36" s="2" t="s">
        <v>36</v>
      </c>
      <c r="E36" s="2">
        <v>1</v>
      </c>
      <c r="F36" s="2">
        <v>628</v>
      </c>
      <c r="G36" s="2" t="s">
        <v>7</v>
      </c>
      <c r="H36" s="2" t="s">
        <v>8</v>
      </c>
      <c r="I36" s="2"/>
    </row>
    <row r="37" spans="1:9" ht="14.5" x14ac:dyDescent="0.3">
      <c r="A37" s="2" t="s">
        <v>4</v>
      </c>
      <c r="B37" s="2" t="s">
        <v>11</v>
      </c>
      <c r="C37" s="2">
        <v>302001644</v>
      </c>
      <c r="D37" s="2" t="s">
        <v>12</v>
      </c>
      <c r="E37" s="2">
        <v>12</v>
      </c>
      <c r="F37" s="2">
        <v>7536</v>
      </c>
      <c r="G37" s="16" t="s">
        <v>7</v>
      </c>
      <c r="H37" s="2" t="s">
        <v>8</v>
      </c>
      <c r="I37" s="2"/>
    </row>
    <row r="38" spans="1:9" ht="14.5" x14ac:dyDescent="0.3">
      <c r="A38" s="2" t="s">
        <v>4</v>
      </c>
      <c r="B38" s="2" t="s">
        <v>37</v>
      </c>
      <c r="C38" s="2">
        <v>302000147</v>
      </c>
      <c r="D38" s="2" t="s">
        <v>38</v>
      </c>
      <c r="E38" s="2">
        <v>2</v>
      </c>
      <c r="F38" s="2">
        <v>1256</v>
      </c>
      <c r="G38" s="2" t="s">
        <v>7</v>
      </c>
      <c r="H38" s="2" t="s">
        <v>8</v>
      </c>
      <c r="I38" s="2"/>
    </row>
    <row r="39" spans="1:9" ht="14.5" x14ac:dyDescent="0.3">
      <c r="A39" s="2" t="s">
        <v>4</v>
      </c>
      <c r="B39" s="2" t="s">
        <v>13</v>
      </c>
      <c r="C39" s="2">
        <v>302001040</v>
      </c>
      <c r="D39" s="2" t="s">
        <v>39</v>
      </c>
      <c r="E39" s="2">
        <v>2</v>
      </c>
      <c r="F39" s="2">
        <v>1256</v>
      </c>
      <c r="G39" s="16" t="s">
        <v>7</v>
      </c>
      <c r="H39" s="2" t="s">
        <v>8</v>
      </c>
      <c r="I39" s="2"/>
    </row>
    <row r="40" spans="1:9" ht="14.5" x14ac:dyDescent="0.3">
      <c r="A40" s="2" t="s">
        <v>4</v>
      </c>
      <c r="B40" s="2" t="s">
        <v>13</v>
      </c>
      <c r="C40" s="2">
        <v>302001354</v>
      </c>
      <c r="D40" s="2" t="s">
        <v>15</v>
      </c>
      <c r="E40" s="2">
        <v>6</v>
      </c>
      <c r="F40" s="2">
        <v>3768</v>
      </c>
      <c r="G40" s="2" t="s">
        <v>7</v>
      </c>
      <c r="H40" s="2" t="s">
        <v>8</v>
      </c>
      <c r="I40" s="2"/>
    </row>
    <row r="41" spans="1:9" ht="14.5" x14ac:dyDescent="0.3">
      <c r="A41" s="2" t="s">
        <v>4</v>
      </c>
      <c r="B41" s="2" t="s">
        <v>16</v>
      </c>
      <c r="C41" s="2">
        <v>302001332</v>
      </c>
      <c r="D41" s="2" t="s">
        <v>40</v>
      </c>
      <c r="E41" s="2">
        <v>1</v>
      </c>
      <c r="F41" s="2">
        <v>628</v>
      </c>
      <c r="G41" s="2" t="s">
        <v>10</v>
      </c>
      <c r="H41" s="2" t="s">
        <v>8</v>
      </c>
      <c r="I41" s="2"/>
    </row>
    <row r="42" spans="1:9" ht="14.5" x14ac:dyDescent="0.3">
      <c r="A42" s="2" t="s">
        <v>4</v>
      </c>
      <c r="B42" s="2"/>
      <c r="C42" s="2">
        <v>302000251</v>
      </c>
      <c r="D42" s="2" t="s">
        <v>41</v>
      </c>
      <c r="E42" s="2">
        <v>2</v>
      </c>
      <c r="F42" s="2">
        <v>1256</v>
      </c>
      <c r="G42" s="2" t="s">
        <v>7</v>
      </c>
      <c r="H42" s="2" t="s">
        <v>8</v>
      </c>
      <c r="I42" s="2"/>
    </row>
    <row r="43" spans="1:9" ht="14.5" x14ac:dyDescent="0.3">
      <c r="A43" s="2" t="s">
        <v>4</v>
      </c>
      <c r="B43" s="2" t="s">
        <v>16</v>
      </c>
      <c r="C43" s="2">
        <v>302001655</v>
      </c>
      <c r="D43" s="2" t="s">
        <v>20</v>
      </c>
      <c r="E43" s="2">
        <v>1</v>
      </c>
      <c r="F43" s="2">
        <v>628</v>
      </c>
      <c r="G43" s="2" t="s">
        <v>7</v>
      </c>
      <c r="H43" s="2" t="s">
        <v>8</v>
      </c>
      <c r="I43" s="2"/>
    </row>
    <row r="44" spans="1:9" ht="14.5" x14ac:dyDescent="0.3">
      <c r="A44" s="2" t="s">
        <v>4</v>
      </c>
      <c r="B44" s="2" t="s">
        <v>21</v>
      </c>
      <c r="C44" s="2">
        <v>302001873</v>
      </c>
      <c r="D44" s="2" t="s">
        <v>42</v>
      </c>
      <c r="E44" s="2">
        <v>1</v>
      </c>
      <c r="F44" s="2">
        <v>628</v>
      </c>
      <c r="G44" s="16" t="s">
        <v>10</v>
      </c>
      <c r="H44" s="2" t="s">
        <v>8</v>
      </c>
      <c r="I44" s="2"/>
    </row>
    <row r="45" spans="1:9" ht="14.5" x14ac:dyDescent="0.3">
      <c r="A45" s="2" t="s">
        <v>4</v>
      </c>
      <c r="B45" s="2" t="s">
        <v>21</v>
      </c>
      <c r="C45" s="2">
        <v>302000788</v>
      </c>
      <c r="D45" s="2" t="s">
        <v>43</v>
      </c>
      <c r="E45" s="2">
        <v>2</v>
      </c>
      <c r="F45" s="2">
        <v>1256</v>
      </c>
      <c r="G45" s="2" t="s">
        <v>10</v>
      </c>
      <c r="H45" s="2" t="s">
        <v>8</v>
      </c>
      <c r="I45" s="2"/>
    </row>
    <row r="46" spans="1:9" ht="14.5" x14ac:dyDescent="0.3">
      <c r="A46" s="2" t="s">
        <v>4</v>
      </c>
      <c r="B46" s="2" t="s">
        <v>18</v>
      </c>
      <c r="C46" s="16">
        <v>302003132</v>
      </c>
      <c r="D46" s="2" t="s">
        <v>25</v>
      </c>
      <c r="E46" s="2">
        <v>2</v>
      </c>
      <c r="F46" s="2">
        <v>1256</v>
      </c>
      <c r="G46" s="17" t="s">
        <v>7</v>
      </c>
      <c r="H46" s="2" t="s">
        <v>8</v>
      </c>
      <c r="I46" s="2"/>
    </row>
    <row r="47" spans="1:9" ht="14.5" x14ac:dyDescent="0.3">
      <c r="A47" s="2" t="s">
        <v>4</v>
      </c>
      <c r="B47" s="2" t="s">
        <v>18</v>
      </c>
      <c r="C47" s="2">
        <v>302003131</v>
      </c>
      <c r="D47" s="2" t="s">
        <v>24</v>
      </c>
      <c r="E47" s="2">
        <v>2</v>
      </c>
      <c r="F47" s="2">
        <v>1256</v>
      </c>
      <c r="G47" s="16" t="s">
        <v>7</v>
      </c>
      <c r="H47" s="2" t="s">
        <v>8</v>
      </c>
      <c r="I47" s="2"/>
    </row>
    <row r="48" spans="1:9" ht="14.5" x14ac:dyDescent="0.3">
      <c r="A48" s="2" t="s">
        <v>4</v>
      </c>
      <c r="B48" s="2"/>
      <c r="C48" s="2">
        <v>302000187</v>
      </c>
      <c r="D48" s="2" t="s">
        <v>44</v>
      </c>
      <c r="E48" s="2">
        <v>1</v>
      </c>
      <c r="F48" s="2">
        <v>628</v>
      </c>
      <c r="G48" s="16" t="s">
        <v>10</v>
      </c>
      <c r="H48" s="2" t="s">
        <v>8</v>
      </c>
      <c r="I48" s="2"/>
    </row>
    <row r="49" spans="1:9" ht="14.5" x14ac:dyDescent="0.3">
      <c r="A49" s="2" t="s">
        <v>4</v>
      </c>
      <c r="B49" s="2"/>
      <c r="C49" s="2">
        <v>302003987</v>
      </c>
      <c r="D49" s="2" t="s">
        <v>45</v>
      </c>
      <c r="E49" s="2">
        <v>2</v>
      </c>
      <c r="F49" s="2">
        <v>1256</v>
      </c>
      <c r="G49" s="2" t="s">
        <v>7</v>
      </c>
      <c r="H49" s="2" t="s">
        <v>8</v>
      </c>
      <c r="I49" s="2"/>
    </row>
    <row r="50" spans="1:9" ht="14.5" x14ac:dyDescent="0.3">
      <c r="A50" s="2" t="s">
        <v>4</v>
      </c>
      <c r="B50" s="2" t="s">
        <v>46</v>
      </c>
      <c r="C50" s="2">
        <v>302000248</v>
      </c>
      <c r="D50" s="2" t="s">
        <v>47</v>
      </c>
      <c r="E50" s="2">
        <v>2</v>
      </c>
      <c r="F50" s="2">
        <v>1256</v>
      </c>
      <c r="G50" s="2" t="s">
        <v>7</v>
      </c>
      <c r="H50" s="2" t="s">
        <v>8</v>
      </c>
      <c r="I50" s="2"/>
    </row>
    <row r="51" spans="1:9" ht="14.5" x14ac:dyDescent="0.3">
      <c r="A51" s="2" t="s">
        <v>28</v>
      </c>
      <c r="B51" s="2" t="s">
        <v>29</v>
      </c>
      <c r="C51" s="2">
        <v>69001312</v>
      </c>
      <c r="D51" s="2" t="s">
        <v>48</v>
      </c>
      <c r="E51" s="2">
        <v>1</v>
      </c>
      <c r="F51" s="2">
        <v>628</v>
      </c>
      <c r="G51" s="2" t="s">
        <v>10</v>
      </c>
      <c r="H51" s="2" t="s">
        <v>8</v>
      </c>
      <c r="I51" s="2"/>
    </row>
    <row r="52" spans="1:9" ht="14.5" x14ac:dyDescent="0.3">
      <c r="A52" s="2" t="s">
        <v>28</v>
      </c>
      <c r="B52" s="2" t="s">
        <v>49</v>
      </c>
      <c r="C52" s="2">
        <v>68000053</v>
      </c>
      <c r="D52" s="2" t="s">
        <v>50</v>
      </c>
      <c r="E52" s="2">
        <v>1</v>
      </c>
      <c r="F52" s="2">
        <v>628</v>
      </c>
      <c r="G52" s="2" t="s">
        <v>10</v>
      </c>
      <c r="H52" s="2" t="s">
        <v>8</v>
      </c>
      <c r="I52" s="2"/>
    </row>
    <row r="53" spans="1:9" ht="14.5" x14ac:dyDescent="0.3">
      <c r="A53" s="2" t="s">
        <v>51</v>
      </c>
      <c r="B53" s="2" t="s">
        <v>52</v>
      </c>
      <c r="C53" s="2">
        <v>80008624</v>
      </c>
      <c r="D53" s="2" t="s">
        <v>53</v>
      </c>
      <c r="E53" s="2">
        <v>1</v>
      </c>
      <c r="F53" s="2">
        <v>628</v>
      </c>
      <c r="G53" s="2" t="s">
        <v>10</v>
      </c>
      <c r="H53" s="2" t="s">
        <v>8</v>
      </c>
      <c r="I53" s="2"/>
    </row>
    <row r="54" spans="1:9" ht="14.5" x14ac:dyDescent="0.3">
      <c r="A54" s="2" t="s">
        <v>51</v>
      </c>
      <c r="B54" s="2" t="s">
        <v>54</v>
      </c>
      <c r="C54" s="2">
        <v>80008653</v>
      </c>
      <c r="D54" s="2" t="s">
        <v>55</v>
      </c>
      <c r="E54" s="2">
        <v>1</v>
      </c>
      <c r="F54" s="2">
        <v>628</v>
      </c>
      <c r="G54" s="2" t="s">
        <v>10</v>
      </c>
      <c r="H54" s="2" t="s">
        <v>8</v>
      </c>
      <c r="I54" s="2"/>
    </row>
    <row r="55" spans="1:9" ht="14.5" x14ac:dyDescent="0.3">
      <c r="A55" s="2" t="s">
        <v>51</v>
      </c>
      <c r="B55" s="2" t="s">
        <v>56</v>
      </c>
      <c r="C55" s="2">
        <v>80008592</v>
      </c>
      <c r="D55" s="2" t="s">
        <v>57</v>
      </c>
      <c r="E55" s="2">
        <v>1</v>
      </c>
      <c r="F55" s="2">
        <v>628</v>
      </c>
      <c r="G55" s="2" t="s">
        <v>10</v>
      </c>
      <c r="H55" s="2" t="s">
        <v>8</v>
      </c>
      <c r="I55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B65A3-55EC-405C-BD6D-19E16CEC4483}">
  <sheetPr>
    <tabColor rgb="FF00B050"/>
  </sheetPr>
  <dimension ref="A3:B37"/>
  <sheetViews>
    <sheetView workbookViewId="0">
      <selection activeCell="D17" sqref="D17"/>
    </sheetView>
  </sheetViews>
  <sheetFormatPr defaultRowHeight="14" x14ac:dyDescent="0.3"/>
  <cols>
    <col min="1" max="1" width="10.5" bestFit="1" customWidth="1"/>
    <col min="2" max="2" width="13.58203125" bestFit="1" customWidth="1"/>
  </cols>
  <sheetData>
    <row r="3" spans="1:2" x14ac:dyDescent="0.3">
      <c r="A3" s="8" t="s">
        <v>131</v>
      </c>
      <c r="B3" t="s">
        <v>133</v>
      </c>
    </row>
    <row r="4" spans="1:2" x14ac:dyDescent="0.3">
      <c r="A4" s="9" t="s">
        <v>59</v>
      </c>
      <c r="B4">
        <v>45</v>
      </c>
    </row>
    <row r="5" spans="1:2" x14ac:dyDescent="0.3">
      <c r="A5" s="9" t="s">
        <v>61</v>
      </c>
      <c r="B5">
        <v>628</v>
      </c>
    </row>
    <row r="6" spans="1:2" x14ac:dyDescent="0.3">
      <c r="A6" s="9">
        <v>304000492</v>
      </c>
      <c r="B6">
        <v>45</v>
      </c>
    </row>
    <row r="7" spans="1:2" x14ac:dyDescent="0.3">
      <c r="A7" s="9">
        <v>68000310</v>
      </c>
      <c r="B7">
        <v>45</v>
      </c>
    </row>
    <row r="8" spans="1:2" x14ac:dyDescent="0.3">
      <c r="A8" s="9">
        <v>302001644</v>
      </c>
      <c r="B8">
        <v>8976</v>
      </c>
    </row>
    <row r="9" spans="1:2" x14ac:dyDescent="0.3">
      <c r="A9" s="9">
        <v>302002092</v>
      </c>
      <c r="B9">
        <v>90</v>
      </c>
    </row>
    <row r="10" spans="1:2" x14ac:dyDescent="0.3">
      <c r="A10" s="9">
        <v>302001354</v>
      </c>
      <c r="B10">
        <v>3858</v>
      </c>
    </row>
    <row r="11" spans="1:2" x14ac:dyDescent="0.3">
      <c r="A11" s="9">
        <v>302002612</v>
      </c>
      <c r="B11">
        <v>45</v>
      </c>
    </row>
    <row r="12" spans="1:2" x14ac:dyDescent="0.3">
      <c r="A12" s="9">
        <v>302001844</v>
      </c>
      <c r="B12">
        <v>45</v>
      </c>
    </row>
    <row r="13" spans="1:2" x14ac:dyDescent="0.3">
      <c r="A13" s="9">
        <v>302001655</v>
      </c>
      <c r="B13">
        <v>673</v>
      </c>
    </row>
    <row r="14" spans="1:2" x14ac:dyDescent="0.3">
      <c r="A14" s="9">
        <v>302003912</v>
      </c>
      <c r="B14">
        <v>180</v>
      </c>
    </row>
    <row r="15" spans="1:2" x14ac:dyDescent="0.3">
      <c r="A15" s="9">
        <v>302003302</v>
      </c>
      <c r="B15">
        <v>90</v>
      </c>
    </row>
    <row r="16" spans="1:2" x14ac:dyDescent="0.3">
      <c r="A16" s="9">
        <v>302003131</v>
      </c>
      <c r="B16">
        <v>1346</v>
      </c>
    </row>
    <row r="17" spans="1:2" x14ac:dyDescent="0.3">
      <c r="A17" s="9">
        <v>302003132</v>
      </c>
      <c r="B17">
        <v>1346</v>
      </c>
    </row>
    <row r="18" spans="1:2" x14ac:dyDescent="0.3">
      <c r="A18" s="9">
        <v>302004291</v>
      </c>
      <c r="B18">
        <v>360</v>
      </c>
    </row>
    <row r="19" spans="1:2" x14ac:dyDescent="0.3">
      <c r="A19" s="9">
        <v>69001318</v>
      </c>
      <c r="B19">
        <v>45</v>
      </c>
    </row>
    <row r="20" spans="1:2" x14ac:dyDescent="0.3">
      <c r="A20" s="9">
        <v>68000324</v>
      </c>
      <c r="B20">
        <v>45</v>
      </c>
    </row>
    <row r="21" spans="1:2" x14ac:dyDescent="0.3">
      <c r="A21" s="9">
        <v>302003095</v>
      </c>
      <c r="B21">
        <v>628</v>
      </c>
    </row>
    <row r="22" spans="1:2" x14ac:dyDescent="0.3">
      <c r="A22" s="9">
        <v>302001363</v>
      </c>
      <c r="B22">
        <v>628</v>
      </c>
    </row>
    <row r="23" spans="1:2" x14ac:dyDescent="0.3">
      <c r="A23" s="9">
        <v>302000147</v>
      </c>
      <c r="B23">
        <v>1256</v>
      </c>
    </row>
    <row r="24" spans="1:2" x14ac:dyDescent="0.3">
      <c r="A24" s="9">
        <v>302001040</v>
      </c>
      <c r="B24">
        <v>1256</v>
      </c>
    </row>
    <row r="25" spans="1:2" x14ac:dyDescent="0.3">
      <c r="A25" s="9">
        <v>302001332</v>
      </c>
      <c r="B25">
        <v>628</v>
      </c>
    </row>
    <row r="26" spans="1:2" x14ac:dyDescent="0.3">
      <c r="A26" s="9">
        <v>302000251</v>
      </c>
      <c r="B26">
        <v>1256</v>
      </c>
    </row>
    <row r="27" spans="1:2" x14ac:dyDescent="0.3">
      <c r="A27" s="9">
        <v>302001873</v>
      </c>
      <c r="B27">
        <v>628</v>
      </c>
    </row>
    <row r="28" spans="1:2" x14ac:dyDescent="0.3">
      <c r="A28" s="9">
        <v>302000788</v>
      </c>
      <c r="B28">
        <v>1256</v>
      </c>
    </row>
    <row r="29" spans="1:2" x14ac:dyDescent="0.3">
      <c r="A29" s="9">
        <v>302000187</v>
      </c>
      <c r="B29">
        <v>628</v>
      </c>
    </row>
    <row r="30" spans="1:2" x14ac:dyDescent="0.3">
      <c r="A30" s="9">
        <v>302003987</v>
      </c>
      <c r="B30">
        <v>1256</v>
      </c>
    </row>
    <row r="31" spans="1:2" x14ac:dyDescent="0.3">
      <c r="A31" s="9">
        <v>302000248</v>
      </c>
      <c r="B31">
        <v>1256</v>
      </c>
    </row>
    <row r="32" spans="1:2" x14ac:dyDescent="0.3">
      <c r="A32" s="9">
        <v>69001312</v>
      </c>
      <c r="B32">
        <v>628</v>
      </c>
    </row>
    <row r="33" spans="1:2" x14ac:dyDescent="0.3">
      <c r="A33" s="9">
        <v>68000053</v>
      </c>
      <c r="B33">
        <v>628</v>
      </c>
    </row>
    <row r="34" spans="1:2" x14ac:dyDescent="0.3">
      <c r="A34" s="9">
        <v>80008624</v>
      </c>
      <c r="B34">
        <v>628</v>
      </c>
    </row>
    <row r="35" spans="1:2" x14ac:dyDescent="0.3">
      <c r="A35" s="9">
        <v>80008653</v>
      </c>
      <c r="B35">
        <v>628</v>
      </c>
    </row>
    <row r="36" spans="1:2" x14ac:dyDescent="0.3">
      <c r="A36" s="9">
        <v>80008592</v>
      </c>
      <c r="B36">
        <v>628</v>
      </c>
    </row>
    <row r="37" spans="1:2" x14ac:dyDescent="0.3">
      <c r="A37" s="9" t="s">
        <v>132</v>
      </c>
      <c r="B37">
        <v>31678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1B303-348B-4B8D-BB2F-1BA710C17773}">
  <dimension ref="A1:G9"/>
  <sheetViews>
    <sheetView workbookViewId="0">
      <selection activeCell="G1" sqref="G1"/>
    </sheetView>
  </sheetViews>
  <sheetFormatPr defaultColWidth="9" defaultRowHeight="14.5" x14ac:dyDescent="0.4"/>
  <cols>
    <col min="1" max="1" width="11.58203125" style="4" bestFit="1" customWidth="1"/>
    <col min="2" max="2" width="13.08203125" style="4" bestFit="1" customWidth="1"/>
    <col min="3" max="3" width="11.58203125" style="4" bestFit="1" customWidth="1"/>
    <col min="4" max="4" width="11.33203125" style="4" bestFit="1" customWidth="1"/>
    <col min="5" max="5" width="20.5" style="4" bestFit="1" customWidth="1"/>
    <col min="6" max="6" width="20.33203125" style="4" bestFit="1" customWidth="1"/>
    <col min="7" max="16384" width="9" style="4"/>
  </cols>
  <sheetData>
    <row r="1" spans="1:7" x14ac:dyDescent="0.4">
      <c r="A1" s="7" t="s">
        <v>63</v>
      </c>
      <c r="B1" s="7" t="s">
        <v>64</v>
      </c>
      <c r="C1" s="7" t="s">
        <v>65</v>
      </c>
      <c r="D1" s="7" t="s">
        <v>66</v>
      </c>
      <c r="E1" s="7" t="s">
        <v>76</v>
      </c>
      <c r="F1" s="7" t="s">
        <v>77</v>
      </c>
      <c r="G1" s="7" t="s">
        <v>87</v>
      </c>
    </row>
    <row r="2" spans="1:7" ht="15" x14ac:dyDescent="0.4">
      <c r="A2" s="5" t="s">
        <v>67</v>
      </c>
      <c r="B2" s="5" t="s">
        <v>68</v>
      </c>
      <c r="C2" s="5" t="s">
        <v>67</v>
      </c>
      <c r="D2" s="5" t="s">
        <v>68</v>
      </c>
      <c r="E2" s="5" t="s">
        <v>78</v>
      </c>
      <c r="F2" s="5" t="s">
        <v>84</v>
      </c>
      <c r="G2" s="6">
        <v>1</v>
      </c>
    </row>
    <row r="3" spans="1:7" ht="15" x14ac:dyDescent="0.4">
      <c r="A3" s="5" t="s">
        <v>69</v>
      </c>
      <c r="B3" s="5" t="s">
        <v>70</v>
      </c>
      <c r="C3" s="5" t="s">
        <v>71</v>
      </c>
      <c r="D3" s="5" t="s">
        <v>70</v>
      </c>
      <c r="E3" s="5" t="s">
        <v>79</v>
      </c>
      <c r="F3" s="5" t="s">
        <v>85</v>
      </c>
      <c r="G3" s="6">
        <v>212</v>
      </c>
    </row>
    <row r="4" spans="1:7" ht="15" x14ac:dyDescent="0.4">
      <c r="A4" s="5" t="s">
        <v>67</v>
      </c>
      <c r="B4" s="5" t="s">
        <v>72</v>
      </c>
      <c r="C4" s="5" t="s">
        <v>67</v>
      </c>
      <c r="D4" s="5" t="s">
        <v>72</v>
      </c>
      <c r="E4" s="5" t="s">
        <v>78</v>
      </c>
      <c r="F4" s="5" t="s">
        <v>84</v>
      </c>
      <c r="G4" s="6">
        <v>1</v>
      </c>
    </row>
    <row r="5" spans="1:7" ht="15" x14ac:dyDescent="0.4">
      <c r="A5" s="5" t="s">
        <v>69</v>
      </c>
      <c r="B5" s="5" t="s">
        <v>73</v>
      </c>
      <c r="C5" s="5" t="s">
        <v>71</v>
      </c>
      <c r="D5" s="5" t="s">
        <v>73</v>
      </c>
      <c r="E5" s="5" t="s">
        <v>80</v>
      </c>
      <c r="F5" s="5" t="s">
        <v>86</v>
      </c>
      <c r="G5" s="6">
        <v>36</v>
      </c>
    </row>
    <row r="6" spans="1:7" ht="15" x14ac:dyDescent="0.4">
      <c r="A6" s="5" t="s">
        <v>69</v>
      </c>
      <c r="B6" s="5" t="s">
        <v>72</v>
      </c>
      <c r="C6" s="5" t="s">
        <v>71</v>
      </c>
      <c r="D6" s="5" t="s">
        <v>72</v>
      </c>
      <c r="E6" s="5" t="s">
        <v>81</v>
      </c>
      <c r="F6" s="5" t="s">
        <v>86</v>
      </c>
      <c r="G6" s="6">
        <v>9</v>
      </c>
    </row>
    <row r="7" spans="1:7" ht="15" x14ac:dyDescent="0.4">
      <c r="A7" s="5" t="s">
        <v>69</v>
      </c>
      <c r="B7" s="5" t="s">
        <v>68</v>
      </c>
      <c r="C7" s="5" t="s">
        <v>71</v>
      </c>
      <c r="D7" s="5" t="s">
        <v>68</v>
      </c>
      <c r="E7" s="5" t="s">
        <v>82</v>
      </c>
      <c r="F7" s="5" t="s">
        <v>85</v>
      </c>
      <c r="G7" s="6">
        <v>21</v>
      </c>
    </row>
    <row r="8" spans="1:7" ht="15" x14ac:dyDescent="0.4">
      <c r="A8" s="5" t="s">
        <v>69</v>
      </c>
      <c r="B8" s="5" t="s">
        <v>74</v>
      </c>
      <c r="C8" s="5" t="s">
        <v>71</v>
      </c>
      <c r="D8" s="5" t="s">
        <v>74</v>
      </c>
      <c r="E8" s="5" t="s">
        <v>83</v>
      </c>
      <c r="F8" s="5" t="s">
        <v>85</v>
      </c>
      <c r="G8" s="6">
        <v>81</v>
      </c>
    </row>
    <row r="9" spans="1:7" ht="15" x14ac:dyDescent="0.4">
      <c r="A9" s="5" t="s">
        <v>67</v>
      </c>
      <c r="B9" s="5" t="s">
        <v>73</v>
      </c>
      <c r="C9" s="5" t="s">
        <v>75</v>
      </c>
      <c r="D9" s="5" t="s">
        <v>73</v>
      </c>
      <c r="E9" s="5" t="s">
        <v>82</v>
      </c>
      <c r="F9" s="5" t="s">
        <v>85</v>
      </c>
      <c r="G9" s="6">
        <v>314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61119-D936-49E5-BE2E-112BBCB5D78D}">
  <dimension ref="A3:B10"/>
  <sheetViews>
    <sheetView workbookViewId="0">
      <selection activeCell="A6" sqref="A6"/>
    </sheetView>
  </sheetViews>
  <sheetFormatPr defaultRowHeight="14" x14ac:dyDescent="0.3"/>
  <cols>
    <col min="1" max="1" width="20.5" bestFit="1" customWidth="1"/>
    <col min="2" max="2" width="11.5" bestFit="1" customWidth="1"/>
  </cols>
  <sheetData>
    <row r="3" spans="1:2" x14ac:dyDescent="0.3">
      <c r="A3" s="8" t="s">
        <v>131</v>
      </c>
      <c r="B3" t="s">
        <v>134</v>
      </c>
    </row>
    <row r="4" spans="1:2" x14ac:dyDescent="0.3">
      <c r="A4" s="9" t="s">
        <v>78</v>
      </c>
      <c r="B4">
        <v>2</v>
      </c>
    </row>
    <row r="5" spans="1:2" x14ac:dyDescent="0.3">
      <c r="A5" s="9" t="s">
        <v>83</v>
      </c>
      <c r="B5">
        <v>81</v>
      </c>
    </row>
    <row r="6" spans="1:2" x14ac:dyDescent="0.3">
      <c r="A6" s="9" t="s">
        <v>82</v>
      </c>
      <c r="B6">
        <v>335</v>
      </c>
    </row>
    <row r="7" spans="1:2" x14ac:dyDescent="0.3">
      <c r="A7" s="9" t="s">
        <v>81</v>
      </c>
      <c r="B7">
        <v>9</v>
      </c>
    </row>
    <row r="8" spans="1:2" x14ac:dyDescent="0.3">
      <c r="A8" s="9" t="s">
        <v>80</v>
      </c>
      <c r="B8">
        <v>36</v>
      </c>
    </row>
    <row r="9" spans="1:2" x14ac:dyDescent="0.3">
      <c r="A9" s="9" t="s">
        <v>79</v>
      </c>
      <c r="B9">
        <v>212</v>
      </c>
    </row>
    <row r="10" spans="1:2" x14ac:dyDescent="0.3">
      <c r="A10" s="9" t="s">
        <v>132</v>
      </c>
      <c r="B10">
        <v>675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83835-02E8-4B71-9BD6-4B73CA39A867}">
  <dimension ref="A1:I115"/>
  <sheetViews>
    <sheetView workbookViewId="0">
      <selection activeCell="G5" sqref="G5"/>
    </sheetView>
  </sheetViews>
  <sheetFormatPr defaultColWidth="9" defaultRowHeight="14.5" x14ac:dyDescent="0.4"/>
  <cols>
    <col min="1" max="1" width="10.5" style="4" bestFit="1" customWidth="1"/>
    <col min="2" max="2" width="21.58203125" style="4" bestFit="1" customWidth="1"/>
    <col min="3" max="4" width="9" style="4"/>
    <col min="5" max="5" width="11.25" style="4" bestFit="1" customWidth="1"/>
    <col min="6" max="6" width="13.33203125" style="4" bestFit="1" customWidth="1"/>
    <col min="7" max="7" width="55.58203125" style="4" bestFit="1" customWidth="1"/>
    <col min="8" max="16384" width="9" style="4"/>
  </cols>
  <sheetData>
    <row r="1" spans="1:9" x14ac:dyDescent="0.4">
      <c r="A1" s="7" t="s">
        <v>76</v>
      </c>
      <c r="B1" s="7" t="s">
        <v>77</v>
      </c>
      <c r="C1" s="7" t="s">
        <v>110</v>
      </c>
      <c r="D1" s="7" t="s">
        <v>111</v>
      </c>
      <c r="E1" s="7" t="s">
        <v>112</v>
      </c>
      <c r="F1" s="7" t="s">
        <v>113</v>
      </c>
      <c r="G1" s="7" t="s">
        <v>114</v>
      </c>
      <c r="H1" s="7" t="s">
        <v>115</v>
      </c>
      <c r="I1" s="7" t="s">
        <v>135</v>
      </c>
    </row>
    <row r="2" spans="1:9" x14ac:dyDescent="0.4">
      <c r="A2" s="7">
        <v>1</v>
      </c>
      <c r="B2" s="7"/>
      <c r="C2" s="7"/>
      <c r="D2" s="7"/>
      <c r="E2" s="7"/>
      <c r="F2" s="7"/>
      <c r="G2" s="7"/>
      <c r="H2" s="7">
        <v>212</v>
      </c>
      <c r="I2" s="5"/>
    </row>
    <row r="3" spans="1:9" x14ac:dyDescent="0.4">
      <c r="A3" s="5">
        <v>306010455</v>
      </c>
      <c r="B3" s="5" t="s">
        <v>85</v>
      </c>
      <c r="C3" s="5" t="s">
        <v>88</v>
      </c>
      <c r="D3" s="5" t="s">
        <v>89</v>
      </c>
      <c r="E3" s="5">
        <v>20</v>
      </c>
      <c r="F3" s="5">
        <v>302001363</v>
      </c>
      <c r="G3" s="5" t="s">
        <v>36</v>
      </c>
      <c r="H3" s="5">
        <v>1</v>
      </c>
      <c r="I3" s="5">
        <f>H3*$H$2</f>
        <v>212</v>
      </c>
    </row>
    <row r="4" spans="1:9" x14ac:dyDescent="0.4">
      <c r="A4" s="5">
        <v>306010455</v>
      </c>
      <c r="B4" s="5" t="s">
        <v>85</v>
      </c>
      <c r="C4" s="5" t="s">
        <v>88</v>
      </c>
      <c r="D4" s="5" t="s">
        <v>90</v>
      </c>
      <c r="E4" s="5">
        <v>10</v>
      </c>
      <c r="F4" s="5">
        <v>68000338</v>
      </c>
      <c r="G4" s="5" t="s">
        <v>91</v>
      </c>
      <c r="H4" s="5">
        <v>1</v>
      </c>
      <c r="I4" s="5">
        <f t="shared" ref="I4:I25" si="0">H4*$H$2</f>
        <v>212</v>
      </c>
    </row>
    <row r="5" spans="1:9" x14ac:dyDescent="0.4">
      <c r="A5" s="5">
        <v>306010455</v>
      </c>
      <c r="B5" s="5" t="s">
        <v>85</v>
      </c>
      <c r="C5" s="5" t="s">
        <v>88</v>
      </c>
      <c r="D5" s="5" t="s">
        <v>90</v>
      </c>
      <c r="E5" s="5">
        <v>40</v>
      </c>
      <c r="F5" s="5">
        <v>68000179</v>
      </c>
      <c r="G5" s="5" t="s">
        <v>92</v>
      </c>
      <c r="H5" s="5">
        <v>2</v>
      </c>
      <c r="I5" s="5">
        <f t="shared" si="0"/>
        <v>424</v>
      </c>
    </row>
    <row r="6" spans="1:9" x14ac:dyDescent="0.4">
      <c r="A6" s="5">
        <v>306010455</v>
      </c>
      <c r="B6" s="5" t="s">
        <v>85</v>
      </c>
      <c r="C6" s="5" t="s">
        <v>88</v>
      </c>
      <c r="D6" s="5" t="s">
        <v>89</v>
      </c>
      <c r="E6" s="5">
        <v>30</v>
      </c>
      <c r="F6" s="5">
        <v>302004338</v>
      </c>
      <c r="G6" s="5" t="s">
        <v>93</v>
      </c>
      <c r="H6" s="5">
        <v>12</v>
      </c>
      <c r="I6" s="5">
        <f t="shared" si="0"/>
        <v>2544</v>
      </c>
    </row>
    <row r="7" spans="1:9" x14ac:dyDescent="0.4">
      <c r="A7" s="5">
        <v>306010455</v>
      </c>
      <c r="B7" s="5" t="s">
        <v>85</v>
      </c>
      <c r="C7" s="5" t="s">
        <v>88</v>
      </c>
      <c r="D7" s="5" t="s">
        <v>89</v>
      </c>
      <c r="E7" s="5">
        <v>60</v>
      </c>
      <c r="F7" s="5">
        <v>302000315</v>
      </c>
      <c r="G7" s="5" t="s">
        <v>94</v>
      </c>
      <c r="H7" s="5">
        <v>1</v>
      </c>
      <c r="I7" s="5">
        <f t="shared" si="0"/>
        <v>212</v>
      </c>
    </row>
    <row r="8" spans="1:9" x14ac:dyDescent="0.4">
      <c r="A8" s="5">
        <v>306010455</v>
      </c>
      <c r="B8" s="5" t="s">
        <v>85</v>
      </c>
      <c r="C8" s="5" t="s">
        <v>88</v>
      </c>
      <c r="D8" s="5" t="s">
        <v>89</v>
      </c>
      <c r="E8" s="5">
        <v>50</v>
      </c>
      <c r="F8" s="5">
        <v>302003586</v>
      </c>
      <c r="G8" s="5" t="s">
        <v>95</v>
      </c>
      <c r="H8" s="5">
        <v>1</v>
      </c>
      <c r="I8" s="5">
        <f t="shared" si="0"/>
        <v>212</v>
      </c>
    </row>
    <row r="9" spans="1:9" x14ac:dyDescent="0.4">
      <c r="A9" s="5">
        <v>306010455</v>
      </c>
      <c r="B9" s="5" t="s">
        <v>85</v>
      </c>
      <c r="C9" s="5" t="s">
        <v>88</v>
      </c>
      <c r="D9" s="5" t="s">
        <v>89</v>
      </c>
      <c r="E9" s="5">
        <v>80</v>
      </c>
      <c r="F9" s="5">
        <v>302003536</v>
      </c>
      <c r="G9" s="5" t="s">
        <v>96</v>
      </c>
      <c r="H9" s="5">
        <v>6</v>
      </c>
      <c r="I9" s="5">
        <f t="shared" si="0"/>
        <v>1272</v>
      </c>
    </row>
    <row r="10" spans="1:9" x14ac:dyDescent="0.4">
      <c r="A10" s="5">
        <v>306010455</v>
      </c>
      <c r="B10" s="5" t="s">
        <v>85</v>
      </c>
      <c r="C10" s="5" t="s">
        <v>88</v>
      </c>
      <c r="D10" s="5" t="s">
        <v>89</v>
      </c>
      <c r="E10" s="5">
        <v>70</v>
      </c>
      <c r="F10" s="5">
        <v>302000631</v>
      </c>
      <c r="G10" s="5" t="s">
        <v>97</v>
      </c>
      <c r="H10" s="5">
        <v>2</v>
      </c>
      <c r="I10" s="5">
        <f t="shared" si="0"/>
        <v>424</v>
      </c>
    </row>
    <row r="11" spans="1:9" x14ac:dyDescent="0.4">
      <c r="A11" s="5">
        <v>306010455</v>
      </c>
      <c r="B11" s="5" t="s">
        <v>85</v>
      </c>
      <c r="C11" s="5" t="s">
        <v>88</v>
      </c>
      <c r="D11" s="5" t="s">
        <v>89</v>
      </c>
      <c r="E11" s="5">
        <v>100</v>
      </c>
      <c r="F11" s="5">
        <v>302000251</v>
      </c>
      <c r="G11" s="5" t="s">
        <v>98</v>
      </c>
      <c r="H11" s="5">
        <v>2</v>
      </c>
      <c r="I11" s="5">
        <f t="shared" si="0"/>
        <v>424</v>
      </c>
    </row>
    <row r="12" spans="1:9" x14ac:dyDescent="0.4">
      <c r="A12" s="5">
        <v>306010455</v>
      </c>
      <c r="B12" s="5" t="s">
        <v>85</v>
      </c>
      <c r="C12" s="5" t="s">
        <v>88</v>
      </c>
      <c r="D12" s="5" t="s">
        <v>89</v>
      </c>
      <c r="E12" s="5">
        <v>90</v>
      </c>
      <c r="F12" s="5">
        <v>302001164</v>
      </c>
      <c r="G12" s="5" t="s">
        <v>99</v>
      </c>
      <c r="H12" s="5">
        <v>1</v>
      </c>
      <c r="I12" s="5">
        <f t="shared" si="0"/>
        <v>212</v>
      </c>
    </row>
    <row r="13" spans="1:9" x14ac:dyDescent="0.4">
      <c r="A13" s="5">
        <v>306010455</v>
      </c>
      <c r="B13" s="5" t="s">
        <v>85</v>
      </c>
      <c r="C13" s="5" t="s">
        <v>88</v>
      </c>
      <c r="D13" s="5" t="s">
        <v>89</v>
      </c>
      <c r="E13" s="5">
        <v>120</v>
      </c>
      <c r="F13" s="5">
        <v>302000788</v>
      </c>
      <c r="G13" s="5" t="s">
        <v>100</v>
      </c>
      <c r="H13" s="5">
        <v>2</v>
      </c>
      <c r="I13" s="5">
        <f t="shared" si="0"/>
        <v>424</v>
      </c>
    </row>
    <row r="14" spans="1:9" x14ac:dyDescent="0.4">
      <c r="A14" s="5">
        <v>306010455</v>
      </c>
      <c r="B14" s="5" t="s">
        <v>85</v>
      </c>
      <c r="C14" s="5" t="s">
        <v>88</v>
      </c>
      <c r="D14" s="5" t="s">
        <v>89</v>
      </c>
      <c r="E14" s="5">
        <v>110</v>
      </c>
      <c r="F14" s="5">
        <v>302001873</v>
      </c>
      <c r="G14" s="5" t="s">
        <v>42</v>
      </c>
      <c r="H14" s="5">
        <v>1</v>
      </c>
      <c r="I14" s="5">
        <f t="shared" si="0"/>
        <v>212</v>
      </c>
    </row>
    <row r="15" spans="1:9" x14ac:dyDescent="0.4">
      <c r="A15" s="5">
        <v>306010455</v>
      </c>
      <c r="B15" s="5" t="s">
        <v>85</v>
      </c>
      <c r="C15" s="5" t="s">
        <v>88</v>
      </c>
      <c r="D15" s="5" t="s">
        <v>89</v>
      </c>
      <c r="E15" s="5">
        <v>140</v>
      </c>
      <c r="F15" s="5">
        <v>302003171</v>
      </c>
      <c r="G15" s="5" t="s">
        <v>101</v>
      </c>
      <c r="H15" s="5">
        <v>2</v>
      </c>
      <c r="I15" s="5">
        <f t="shared" si="0"/>
        <v>424</v>
      </c>
    </row>
    <row r="16" spans="1:9" x14ac:dyDescent="0.4">
      <c r="A16" s="5">
        <v>306010455</v>
      </c>
      <c r="B16" s="5" t="s">
        <v>85</v>
      </c>
      <c r="C16" s="5" t="s">
        <v>88</v>
      </c>
      <c r="D16" s="5" t="s">
        <v>89</v>
      </c>
      <c r="E16" s="5">
        <v>130</v>
      </c>
      <c r="F16" s="5">
        <v>302003649</v>
      </c>
      <c r="G16" s="5" t="s">
        <v>102</v>
      </c>
      <c r="H16" s="5">
        <v>2</v>
      </c>
      <c r="I16" s="5">
        <f t="shared" si="0"/>
        <v>424</v>
      </c>
    </row>
    <row r="17" spans="1:9" x14ac:dyDescent="0.4">
      <c r="A17" s="5">
        <v>306010455</v>
      </c>
      <c r="B17" s="5" t="s">
        <v>85</v>
      </c>
      <c r="C17" s="5" t="s">
        <v>88</v>
      </c>
      <c r="D17" s="5" t="s">
        <v>89</v>
      </c>
      <c r="E17" s="5">
        <v>160</v>
      </c>
      <c r="F17" s="5">
        <v>302000248</v>
      </c>
      <c r="G17" s="5" t="s">
        <v>47</v>
      </c>
      <c r="H17" s="5">
        <v>2</v>
      </c>
      <c r="I17" s="5">
        <f t="shared" si="0"/>
        <v>424</v>
      </c>
    </row>
    <row r="18" spans="1:9" x14ac:dyDescent="0.4">
      <c r="A18" s="5">
        <v>306010455</v>
      </c>
      <c r="B18" s="5" t="s">
        <v>85</v>
      </c>
      <c r="C18" s="5" t="s">
        <v>88</v>
      </c>
      <c r="D18" s="5" t="s">
        <v>89</v>
      </c>
      <c r="E18" s="5">
        <v>150</v>
      </c>
      <c r="F18" s="5">
        <v>302000187</v>
      </c>
      <c r="G18" s="5" t="s">
        <v>44</v>
      </c>
      <c r="H18" s="5">
        <v>1</v>
      </c>
      <c r="I18" s="5">
        <f t="shared" si="0"/>
        <v>212</v>
      </c>
    </row>
    <row r="19" spans="1:9" x14ac:dyDescent="0.4">
      <c r="A19" s="5">
        <v>306010455</v>
      </c>
      <c r="B19" s="5" t="s">
        <v>85</v>
      </c>
      <c r="C19" s="5" t="s">
        <v>88</v>
      </c>
      <c r="D19" s="5" t="s">
        <v>90</v>
      </c>
      <c r="E19" s="5">
        <v>180</v>
      </c>
      <c r="F19" s="5">
        <v>69001312</v>
      </c>
      <c r="G19" s="5" t="s">
        <v>103</v>
      </c>
      <c r="H19" s="5">
        <v>1</v>
      </c>
      <c r="I19" s="5">
        <f t="shared" si="0"/>
        <v>212</v>
      </c>
    </row>
    <row r="20" spans="1:9" x14ac:dyDescent="0.4">
      <c r="A20" s="5">
        <v>306010455</v>
      </c>
      <c r="B20" s="5" t="s">
        <v>85</v>
      </c>
      <c r="C20" s="5" t="s">
        <v>88</v>
      </c>
      <c r="D20" s="5" t="s">
        <v>89</v>
      </c>
      <c r="E20" s="5">
        <v>170</v>
      </c>
      <c r="F20" s="5">
        <v>302003987</v>
      </c>
      <c r="G20" s="5" t="s">
        <v>104</v>
      </c>
      <c r="H20" s="5">
        <v>2</v>
      </c>
      <c r="I20" s="5">
        <f t="shared" si="0"/>
        <v>424</v>
      </c>
    </row>
    <row r="21" spans="1:9" x14ac:dyDescent="0.4">
      <c r="A21" s="5">
        <v>306010455</v>
      </c>
      <c r="B21" s="5" t="s">
        <v>85</v>
      </c>
      <c r="C21" s="5" t="s">
        <v>88</v>
      </c>
      <c r="D21" s="5" t="s">
        <v>89</v>
      </c>
      <c r="E21" s="5">
        <v>200</v>
      </c>
      <c r="F21" s="5">
        <v>313000892</v>
      </c>
      <c r="G21" s="5" t="s">
        <v>105</v>
      </c>
      <c r="H21" s="5">
        <v>1</v>
      </c>
      <c r="I21" s="5">
        <f t="shared" si="0"/>
        <v>212</v>
      </c>
    </row>
    <row r="22" spans="1:9" x14ac:dyDescent="0.4">
      <c r="A22" s="5">
        <v>306010455</v>
      </c>
      <c r="B22" s="5" t="s">
        <v>85</v>
      </c>
      <c r="C22" s="5" t="s">
        <v>88</v>
      </c>
      <c r="D22" s="5" t="s">
        <v>90</v>
      </c>
      <c r="E22" s="5">
        <v>190</v>
      </c>
      <c r="F22" s="5">
        <v>68000053</v>
      </c>
      <c r="G22" s="5" t="s">
        <v>106</v>
      </c>
      <c r="H22" s="5">
        <v>1</v>
      </c>
      <c r="I22" s="5">
        <f t="shared" si="0"/>
        <v>212</v>
      </c>
    </row>
    <row r="23" spans="1:9" x14ac:dyDescent="0.4">
      <c r="A23" s="5">
        <v>306010455</v>
      </c>
      <c r="B23" s="5" t="s">
        <v>85</v>
      </c>
      <c r="C23" s="5" t="s">
        <v>88</v>
      </c>
      <c r="D23" s="5" t="s">
        <v>89</v>
      </c>
      <c r="E23" s="5">
        <v>220</v>
      </c>
      <c r="F23" s="5">
        <v>302000271</v>
      </c>
      <c r="G23" s="5" t="s">
        <v>107</v>
      </c>
      <c r="H23" s="5">
        <v>4</v>
      </c>
      <c r="I23" s="5">
        <f t="shared" si="0"/>
        <v>848</v>
      </c>
    </row>
    <row r="24" spans="1:9" x14ac:dyDescent="0.4">
      <c r="A24" s="5">
        <v>306010455</v>
      </c>
      <c r="B24" s="5" t="s">
        <v>85</v>
      </c>
      <c r="C24" s="5" t="s">
        <v>88</v>
      </c>
      <c r="D24" s="5" t="s">
        <v>90</v>
      </c>
      <c r="E24" s="5">
        <v>210</v>
      </c>
      <c r="F24" s="5">
        <v>68000027</v>
      </c>
      <c r="G24" s="5" t="s">
        <v>108</v>
      </c>
      <c r="H24" s="5">
        <v>8</v>
      </c>
      <c r="I24" s="5">
        <f t="shared" si="0"/>
        <v>1696</v>
      </c>
    </row>
    <row r="25" spans="1:9" x14ac:dyDescent="0.4">
      <c r="A25" s="5">
        <v>306010455</v>
      </c>
      <c r="B25" s="5" t="s">
        <v>85</v>
      </c>
      <c r="C25" s="5" t="s">
        <v>88</v>
      </c>
      <c r="D25" s="5" t="s">
        <v>89</v>
      </c>
      <c r="E25" s="5">
        <v>230</v>
      </c>
      <c r="F25" s="5">
        <v>302000331</v>
      </c>
      <c r="G25" s="5" t="s">
        <v>109</v>
      </c>
      <c r="H25" s="5">
        <v>3</v>
      </c>
      <c r="I25" s="5">
        <f t="shared" si="0"/>
        <v>636</v>
      </c>
    </row>
    <row r="26" spans="1:9" x14ac:dyDescent="0.4">
      <c r="A26" s="7">
        <v>2</v>
      </c>
      <c r="B26" s="5"/>
      <c r="C26" s="5"/>
      <c r="D26" s="5"/>
      <c r="E26" s="5"/>
      <c r="F26" s="5"/>
      <c r="G26" s="5"/>
      <c r="H26" s="7">
        <v>36</v>
      </c>
      <c r="I26" s="5"/>
    </row>
    <row r="27" spans="1:9" ht="15" x14ac:dyDescent="0.4">
      <c r="A27" s="6">
        <v>306010454</v>
      </c>
      <c r="B27" s="6" t="s">
        <v>86</v>
      </c>
      <c r="C27" s="6" t="s">
        <v>88</v>
      </c>
      <c r="D27" s="6" t="s">
        <v>90</v>
      </c>
      <c r="E27" s="6">
        <v>190</v>
      </c>
      <c r="F27" s="6">
        <v>68000028</v>
      </c>
      <c r="G27" s="6" t="s">
        <v>116</v>
      </c>
      <c r="H27" s="6">
        <v>4</v>
      </c>
      <c r="I27" s="5">
        <f>H27*$H$26</f>
        <v>144</v>
      </c>
    </row>
    <row r="28" spans="1:9" ht="15" x14ac:dyDescent="0.4">
      <c r="A28" s="6">
        <v>306010454</v>
      </c>
      <c r="B28" s="6" t="s">
        <v>86</v>
      </c>
      <c r="C28" s="6" t="s">
        <v>88</v>
      </c>
      <c r="D28" s="6" t="s">
        <v>90</v>
      </c>
      <c r="E28" s="6">
        <v>180</v>
      </c>
      <c r="F28" s="6">
        <v>68000324</v>
      </c>
      <c r="G28" s="6" t="s">
        <v>32</v>
      </c>
      <c r="H28" s="6">
        <v>1</v>
      </c>
      <c r="I28" s="5">
        <f t="shared" ref="I28:I46" si="1">H28*$H$26</f>
        <v>36</v>
      </c>
    </row>
    <row r="29" spans="1:9" ht="15" x14ac:dyDescent="0.4">
      <c r="A29" s="6">
        <v>306010454</v>
      </c>
      <c r="B29" s="6" t="s">
        <v>86</v>
      </c>
      <c r="C29" s="6" t="s">
        <v>88</v>
      </c>
      <c r="D29" s="6" t="s">
        <v>89</v>
      </c>
      <c r="E29" s="6">
        <v>200</v>
      </c>
      <c r="F29" s="6">
        <v>302000867</v>
      </c>
      <c r="G29" s="6" t="s">
        <v>117</v>
      </c>
      <c r="H29" s="6">
        <v>2</v>
      </c>
      <c r="I29" s="5">
        <f t="shared" si="1"/>
        <v>72</v>
      </c>
    </row>
    <row r="30" spans="1:9" ht="15" x14ac:dyDescent="0.4">
      <c r="A30" s="6">
        <v>306010454</v>
      </c>
      <c r="B30" s="6" t="s">
        <v>86</v>
      </c>
      <c r="C30" s="6" t="s">
        <v>88</v>
      </c>
      <c r="D30" s="6" t="s">
        <v>89</v>
      </c>
      <c r="E30" s="6">
        <v>10</v>
      </c>
      <c r="F30" s="6">
        <v>304000492</v>
      </c>
      <c r="G30" s="6" t="s">
        <v>118</v>
      </c>
      <c r="H30" s="6">
        <v>1</v>
      </c>
      <c r="I30" s="5">
        <f t="shared" si="1"/>
        <v>36</v>
      </c>
    </row>
    <row r="31" spans="1:9" ht="15" x14ac:dyDescent="0.4">
      <c r="A31" s="6">
        <v>306010454</v>
      </c>
      <c r="B31" s="6" t="s">
        <v>86</v>
      </c>
      <c r="C31" s="6" t="s">
        <v>88</v>
      </c>
      <c r="D31" s="6" t="s">
        <v>89</v>
      </c>
      <c r="E31" s="6">
        <v>30</v>
      </c>
      <c r="F31" s="6">
        <v>302004338</v>
      </c>
      <c r="G31" s="6" t="s">
        <v>93</v>
      </c>
      <c r="H31" s="6">
        <v>32</v>
      </c>
      <c r="I31" s="5">
        <f t="shared" si="1"/>
        <v>1152</v>
      </c>
    </row>
    <row r="32" spans="1:9" ht="15" x14ac:dyDescent="0.4">
      <c r="A32" s="6">
        <v>306010454</v>
      </c>
      <c r="B32" s="6" t="s">
        <v>86</v>
      </c>
      <c r="C32" s="6" t="s">
        <v>88</v>
      </c>
      <c r="D32" s="6" t="s">
        <v>90</v>
      </c>
      <c r="E32" s="6">
        <v>20</v>
      </c>
      <c r="F32" s="6">
        <v>68000310</v>
      </c>
      <c r="G32" s="6" t="s">
        <v>9</v>
      </c>
      <c r="H32" s="6">
        <v>1</v>
      </c>
      <c r="I32" s="5">
        <f t="shared" si="1"/>
        <v>36</v>
      </c>
    </row>
    <row r="33" spans="1:9" ht="15" x14ac:dyDescent="0.4">
      <c r="A33" s="6">
        <v>306010454</v>
      </c>
      <c r="B33" s="6" t="s">
        <v>86</v>
      </c>
      <c r="C33" s="6" t="s">
        <v>88</v>
      </c>
      <c r="D33" s="6" t="s">
        <v>89</v>
      </c>
      <c r="E33" s="6">
        <v>50</v>
      </c>
      <c r="F33" s="6">
        <v>302004227</v>
      </c>
      <c r="G33" s="6" t="s">
        <v>119</v>
      </c>
      <c r="H33" s="6">
        <v>2</v>
      </c>
      <c r="I33" s="5">
        <f t="shared" si="1"/>
        <v>72</v>
      </c>
    </row>
    <row r="34" spans="1:9" ht="15" x14ac:dyDescent="0.4">
      <c r="A34" s="6">
        <v>306010454</v>
      </c>
      <c r="B34" s="6" t="s">
        <v>86</v>
      </c>
      <c r="C34" s="6" t="s">
        <v>88</v>
      </c>
      <c r="D34" s="6" t="s">
        <v>89</v>
      </c>
      <c r="E34" s="6">
        <v>40</v>
      </c>
      <c r="F34" s="6">
        <v>302001349</v>
      </c>
      <c r="G34" s="6" t="s">
        <v>120</v>
      </c>
      <c r="H34" s="6">
        <v>2</v>
      </c>
      <c r="I34" s="5">
        <f t="shared" si="1"/>
        <v>72</v>
      </c>
    </row>
    <row r="35" spans="1:9" ht="15" x14ac:dyDescent="0.4">
      <c r="A35" s="6">
        <v>306010454</v>
      </c>
      <c r="B35" s="6" t="s">
        <v>86</v>
      </c>
      <c r="C35" s="6" t="s">
        <v>88</v>
      </c>
      <c r="D35" s="6" t="s">
        <v>89</v>
      </c>
      <c r="E35" s="6">
        <v>70</v>
      </c>
      <c r="F35" s="6">
        <v>302002612</v>
      </c>
      <c r="G35" s="6" t="s">
        <v>121</v>
      </c>
      <c r="H35" s="6">
        <v>1</v>
      </c>
      <c r="I35" s="5">
        <f t="shared" si="1"/>
        <v>36</v>
      </c>
    </row>
    <row r="36" spans="1:9" ht="15" x14ac:dyDescent="0.4">
      <c r="A36" s="6">
        <v>306010454</v>
      </c>
      <c r="B36" s="6" t="s">
        <v>86</v>
      </c>
      <c r="C36" s="6" t="s">
        <v>88</v>
      </c>
      <c r="D36" s="6" t="s">
        <v>89</v>
      </c>
      <c r="E36" s="6">
        <v>60</v>
      </c>
      <c r="F36" s="6">
        <v>302001844</v>
      </c>
      <c r="G36" s="6" t="s">
        <v>122</v>
      </c>
      <c r="H36" s="6">
        <v>1</v>
      </c>
      <c r="I36" s="5">
        <f t="shared" si="1"/>
        <v>36</v>
      </c>
    </row>
    <row r="37" spans="1:9" ht="15" x14ac:dyDescent="0.4">
      <c r="A37" s="6">
        <v>306010454</v>
      </c>
      <c r="B37" s="6" t="s">
        <v>86</v>
      </c>
      <c r="C37" s="6" t="s">
        <v>88</v>
      </c>
      <c r="D37" s="6" t="s">
        <v>89</v>
      </c>
      <c r="E37" s="6">
        <v>90</v>
      </c>
      <c r="F37" s="6">
        <v>302000315</v>
      </c>
      <c r="G37" s="6" t="s">
        <v>94</v>
      </c>
      <c r="H37" s="6">
        <v>1</v>
      </c>
      <c r="I37" s="5">
        <f t="shared" si="1"/>
        <v>36</v>
      </c>
    </row>
    <row r="38" spans="1:9" ht="15" x14ac:dyDescent="0.4">
      <c r="A38" s="6">
        <v>306010454</v>
      </c>
      <c r="B38" s="6" t="s">
        <v>86</v>
      </c>
      <c r="C38" s="6" t="s">
        <v>88</v>
      </c>
      <c r="D38" s="6" t="s">
        <v>89</v>
      </c>
      <c r="E38" s="6">
        <v>80</v>
      </c>
      <c r="F38" s="6">
        <v>302003586</v>
      </c>
      <c r="G38" s="6" t="s">
        <v>95</v>
      </c>
      <c r="H38" s="6">
        <v>1</v>
      </c>
      <c r="I38" s="5">
        <f t="shared" si="1"/>
        <v>36</v>
      </c>
    </row>
    <row r="39" spans="1:9" ht="15" x14ac:dyDescent="0.4">
      <c r="A39" s="6">
        <v>306010454</v>
      </c>
      <c r="B39" s="6" t="s">
        <v>86</v>
      </c>
      <c r="C39" s="6" t="s">
        <v>88</v>
      </c>
      <c r="D39" s="6" t="s">
        <v>89</v>
      </c>
      <c r="E39" s="6">
        <v>110</v>
      </c>
      <c r="F39" s="6">
        <v>302003810</v>
      </c>
      <c r="G39" s="6" t="s">
        <v>123</v>
      </c>
      <c r="H39" s="6">
        <v>1</v>
      </c>
      <c r="I39" s="5">
        <f t="shared" si="1"/>
        <v>36</v>
      </c>
    </row>
    <row r="40" spans="1:9" ht="15" x14ac:dyDescent="0.4">
      <c r="A40" s="6">
        <v>306010454</v>
      </c>
      <c r="B40" s="6" t="s">
        <v>86</v>
      </c>
      <c r="C40" s="6" t="s">
        <v>88</v>
      </c>
      <c r="D40" s="6" t="s">
        <v>89</v>
      </c>
      <c r="E40" s="6">
        <v>100</v>
      </c>
      <c r="F40" s="6">
        <v>302003941</v>
      </c>
      <c r="G40" s="6" t="s">
        <v>124</v>
      </c>
      <c r="H40" s="6">
        <v>4</v>
      </c>
      <c r="I40" s="5">
        <f t="shared" si="1"/>
        <v>144</v>
      </c>
    </row>
    <row r="41" spans="1:9" ht="15" x14ac:dyDescent="0.4">
      <c r="A41" s="6">
        <v>306010454</v>
      </c>
      <c r="B41" s="6" t="s">
        <v>86</v>
      </c>
      <c r="C41" s="6" t="s">
        <v>88</v>
      </c>
      <c r="D41" s="6" t="s">
        <v>89</v>
      </c>
      <c r="E41" s="6">
        <v>130</v>
      </c>
      <c r="F41" s="6">
        <v>302003521</v>
      </c>
      <c r="G41" s="6" t="s">
        <v>125</v>
      </c>
      <c r="H41" s="6">
        <v>1</v>
      </c>
      <c r="I41" s="5">
        <f t="shared" si="1"/>
        <v>36</v>
      </c>
    </row>
    <row r="42" spans="1:9" ht="15" x14ac:dyDescent="0.4">
      <c r="A42" s="6">
        <v>306010454</v>
      </c>
      <c r="B42" s="6" t="s">
        <v>86</v>
      </c>
      <c r="C42" s="6" t="s">
        <v>88</v>
      </c>
      <c r="D42" s="6" t="s">
        <v>89</v>
      </c>
      <c r="E42" s="6">
        <v>120</v>
      </c>
      <c r="F42" s="6">
        <v>302004092</v>
      </c>
      <c r="G42" s="6" t="s">
        <v>126</v>
      </c>
      <c r="H42" s="6">
        <v>1</v>
      </c>
      <c r="I42" s="5">
        <f t="shared" si="1"/>
        <v>36</v>
      </c>
    </row>
    <row r="43" spans="1:9" ht="15" x14ac:dyDescent="0.4">
      <c r="A43" s="6">
        <v>306010454</v>
      </c>
      <c r="B43" s="6" t="s">
        <v>86</v>
      </c>
      <c r="C43" s="6" t="s">
        <v>88</v>
      </c>
      <c r="D43" s="6" t="s">
        <v>89</v>
      </c>
      <c r="E43" s="6">
        <v>150</v>
      </c>
      <c r="F43" s="6">
        <v>302003649</v>
      </c>
      <c r="G43" s="6" t="s">
        <v>102</v>
      </c>
      <c r="H43" s="6">
        <v>2</v>
      </c>
      <c r="I43" s="5">
        <f t="shared" si="1"/>
        <v>72</v>
      </c>
    </row>
    <row r="44" spans="1:9" ht="15" x14ac:dyDescent="0.4">
      <c r="A44" s="6">
        <v>306010454</v>
      </c>
      <c r="B44" s="6" t="s">
        <v>86</v>
      </c>
      <c r="C44" s="6" t="s">
        <v>88</v>
      </c>
      <c r="D44" s="6" t="s">
        <v>89</v>
      </c>
      <c r="E44" s="6">
        <v>140</v>
      </c>
      <c r="F44" s="6">
        <v>302004159</v>
      </c>
      <c r="G44" s="6" t="s">
        <v>127</v>
      </c>
      <c r="H44" s="6">
        <v>8</v>
      </c>
      <c r="I44" s="5">
        <f t="shared" si="1"/>
        <v>288</v>
      </c>
    </row>
    <row r="45" spans="1:9" ht="15" x14ac:dyDescent="0.4">
      <c r="A45" s="6">
        <v>306010454</v>
      </c>
      <c r="B45" s="6" t="s">
        <v>86</v>
      </c>
      <c r="C45" s="6" t="s">
        <v>88</v>
      </c>
      <c r="D45" s="6" t="s">
        <v>90</v>
      </c>
      <c r="E45" s="6">
        <v>170</v>
      </c>
      <c r="F45" s="6">
        <v>69001318</v>
      </c>
      <c r="G45" s="6" t="s">
        <v>128</v>
      </c>
      <c r="H45" s="6">
        <v>1</v>
      </c>
      <c r="I45" s="5">
        <f t="shared" si="1"/>
        <v>36</v>
      </c>
    </row>
    <row r="46" spans="1:9" ht="15" x14ac:dyDescent="0.4">
      <c r="A46" s="6">
        <v>306010454</v>
      </c>
      <c r="B46" s="6" t="s">
        <v>86</v>
      </c>
      <c r="C46" s="6" t="s">
        <v>88</v>
      </c>
      <c r="D46" s="6" t="s">
        <v>89</v>
      </c>
      <c r="E46" s="6">
        <v>160</v>
      </c>
      <c r="F46" s="6">
        <v>302003171</v>
      </c>
      <c r="G46" s="6" t="s">
        <v>101</v>
      </c>
      <c r="H46" s="6">
        <v>2</v>
      </c>
      <c r="I46" s="5">
        <f t="shared" si="1"/>
        <v>72</v>
      </c>
    </row>
    <row r="47" spans="1:9" x14ac:dyDescent="0.4">
      <c r="A47" s="7">
        <v>3</v>
      </c>
      <c r="B47" s="5"/>
      <c r="C47" s="5"/>
      <c r="D47" s="5"/>
      <c r="E47" s="5"/>
      <c r="F47" s="5"/>
      <c r="G47" s="5"/>
      <c r="H47" s="7">
        <v>9</v>
      </c>
      <c r="I47" s="5"/>
    </row>
    <row r="48" spans="1:9" ht="15" x14ac:dyDescent="0.4">
      <c r="A48" s="6">
        <v>306010453</v>
      </c>
      <c r="B48" s="6" t="s">
        <v>86</v>
      </c>
      <c r="C48" s="6" t="s">
        <v>88</v>
      </c>
      <c r="D48" s="6" t="s">
        <v>89</v>
      </c>
      <c r="E48" s="6">
        <v>10</v>
      </c>
      <c r="F48" s="6">
        <v>304000492</v>
      </c>
      <c r="G48" s="6" t="s">
        <v>118</v>
      </c>
      <c r="H48" s="6">
        <v>1</v>
      </c>
      <c r="I48" s="5">
        <f>H48*$H$47</f>
        <v>9</v>
      </c>
    </row>
    <row r="49" spans="1:9" ht="15" x14ac:dyDescent="0.4">
      <c r="A49" s="6">
        <v>306010453</v>
      </c>
      <c r="B49" s="6" t="s">
        <v>86</v>
      </c>
      <c r="C49" s="6" t="s">
        <v>88</v>
      </c>
      <c r="D49" s="6" t="s">
        <v>89</v>
      </c>
      <c r="E49" s="6">
        <v>30</v>
      </c>
      <c r="F49" s="6">
        <v>302004338</v>
      </c>
      <c r="G49" s="6" t="s">
        <v>93</v>
      </c>
      <c r="H49" s="6">
        <v>32</v>
      </c>
      <c r="I49" s="5">
        <f t="shared" ref="I49:I67" si="2">H49*$H$47</f>
        <v>288</v>
      </c>
    </row>
    <row r="50" spans="1:9" ht="15" x14ac:dyDescent="0.4">
      <c r="A50" s="6">
        <v>306010453</v>
      </c>
      <c r="B50" s="6" t="s">
        <v>86</v>
      </c>
      <c r="C50" s="6" t="s">
        <v>88</v>
      </c>
      <c r="D50" s="6" t="s">
        <v>90</v>
      </c>
      <c r="E50" s="6">
        <v>20</v>
      </c>
      <c r="F50" s="6">
        <v>68000310</v>
      </c>
      <c r="G50" s="6" t="s">
        <v>9</v>
      </c>
      <c r="H50" s="6">
        <v>1</v>
      </c>
      <c r="I50" s="5">
        <f t="shared" si="2"/>
        <v>9</v>
      </c>
    </row>
    <row r="51" spans="1:9" ht="15" x14ac:dyDescent="0.4">
      <c r="A51" s="6">
        <v>306010453</v>
      </c>
      <c r="B51" s="6" t="s">
        <v>86</v>
      </c>
      <c r="C51" s="6" t="s">
        <v>88</v>
      </c>
      <c r="D51" s="6" t="s">
        <v>89</v>
      </c>
      <c r="E51" s="6">
        <v>50</v>
      </c>
      <c r="F51" s="6">
        <v>302004227</v>
      </c>
      <c r="G51" s="6" t="s">
        <v>119</v>
      </c>
      <c r="H51" s="6">
        <v>2</v>
      </c>
      <c r="I51" s="5">
        <f t="shared" si="2"/>
        <v>18</v>
      </c>
    </row>
    <row r="52" spans="1:9" ht="15" x14ac:dyDescent="0.4">
      <c r="A52" s="6">
        <v>306010453</v>
      </c>
      <c r="B52" s="6" t="s">
        <v>86</v>
      </c>
      <c r="C52" s="6" t="s">
        <v>88</v>
      </c>
      <c r="D52" s="6" t="s">
        <v>89</v>
      </c>
      <c r="E52" s="6">
        <v>40</v>
      </c>
      <c r="F52" s="6">
        <v>302001349</v>
      </c>
      <c r="G52" s="6" t="s">
        <v>120</v>
      </c>
      <c r="H52" s="6">
        <v>2</v>
      </c>
      <c r="I52" s="5">
        <f t="shared" si="2"/>
        <v>18</v>
      </c>
    </row>
    <row r="53" spans="1:9" ht="15" x14ac:dyDescent="0.4">
      <c r="A53" s="6">
        <v>306010453</v>
      </c>
      <c r="B53" s="6" t="s">
        <v>86</v>
      </c>
      <c r="C53" s="6" t="s">
        <v>88</v>
      </c>
      <c r="D53" s="6" t="s">
        <v>89</v>
      </c>
      <c r="E53" s="6">
        <v>70</v>
      </c>
      <c r="F53" s="6">
        <v>302001844</v>
      </c>
      <c r="G53" s="6" t="s">
        <v>122</v>
      </c>
      <c r="H53" s="6">
        <v>1</v>
      </c>
      <c r="I53" s="5">
        <f t="shared" si="2"/>
        <v>9</v>
      </c>
    </row>
    <row r="54" spans="1:9" ht="15" x14ac:dyDescent="0.4">
      <c r="A54" s="6">
        <v>306010453</v>
      </c>
      <c r="B54" s="6" t="s">
        <v>86</v>
      </c>
      <c r="C54" s="6" t="s">
        <v>88</v>
      </c>
      <c r="D54" s="6" t="s">
        <v>89</v>
      </c>
      <c r="E54" s="6">
        <v>60</v>
      </c>
      <c r="F54" s="6">
        <v>302002612</v>
      </c>
      <c r="G54" s="6" t="s">
        <v>121</v>
      </c>
      <c r="H54" s="6">
        <v>1</v>
      </c>
      <c r="I54" s="5">
        <f t="shared" si="2"/>
        <v>9</v>
      </c>
    </row>
    <row r="55" spans="1:9" ht="15" x14ac:dyDescent="0.4">
      <c r="A55" s="6">
        <v>306010453</v>
      </c>
      <c r="B55" s="6" t="s">
        <v>86</v>
      </c>
      <c r="C55" s="6" t="s">
        <v>88</v>
      </c>
      <c r="D55" s="6" t="s">
        <v>89</v>
      </c>
      <c r="E55" s="6">
        <v>90</v>
      </c>
      <c r="F55" s="6">
        <v>302000315</v>
      </c>
      <c r="G55" s="6" t="s">
        <v>94</v>
      </c>
      <c r="H55" s="6">
        <v>1</v>
      </c>
      <c r="I55" s="5">
        <f t="shared" si="2"/>
        <v>9</v>
      </c>
    </row>
    <row r="56" spans="1:9" ht="15" x14ac:dyDescent="0.4">
      <c r="A56" s="6">
        <v>306010453</v>
      </c>
      <c r="B56" s="6" t="s">
        <v>86</v>
      </c>
      <c r="C56" s="6" t="s">
        <v>88</v>
      </c>
      <c r="D56" s="6" t="s">
        <v>89</v>
      </c>
      <c r="E56" s="6">
        <v>80</v>
      </c>
      <c r="F56" s="6">
        <v>302003586</v>
      </c>
      <c r="G56" s="6" t="s">
        <v>95</v>
      </c>
      <c r="H56" s="6">
        <v>1</v>
      </c>
      <c r="I56" s="5">
        <f t="shared" si="2"/>
        <v>9</v>
      </c>
    </row>
    <row r="57" spans="1:9" ht="15" x14ac:dyDescent="0.4">
      <c r="A57" s="6">
        <v>306010453</v>
      </c>
      <c r="B57" s="6" t="s">
        <v>86</v>
      </c>
      <c r="C57" s="6" t="s">
        <v>88</v>
      </c>
      <c r="D57" s="6" t="s">
        <v>89</v>
      </c>
      <c r="E57" s="6">
        <v>110</v>
      </c>
      <c r="F57" s="6">
        <v>302003810</v>
      </c>
      <c r="G57" s="6" t="s">
        <v>123</v>
      </c>
      <c r="H57" s="6">
        <v>1</v>
      </c>
      <c r="I57" s="5">
        <f t="shared" si="2"/>
        <v>9</v>
      </c>
    </row>
    <row r="58" spans="1:9" ht="15" x14ac:dyDescent="0.4">
      <c r="A58" s="6">
        <v>306010453</v>
      </c>
      <c r="B58" s="6" t="s">
        <v>86</v>
      </c>
      <c r="C58" s="6" t="s">
        <v>88</v>
      </c>
      <c r="D58" s="6" t="s">
        <v>89</v>
      </c>
      <c r="E58" s="6">
        <v>100</v>
      </c>
      <c r="F58" s="6">
        <v>302003941</v>
      </c>
      <c r="G58" s="6" t="s">
        <v>124</v>
      </c>
      <c r="H58" s="6">
        <v>4</v>
      </c>
      <c r="I58" s="5">
        <f t="shared" si="2"/>
        <v>36</v>
      </c>
    </row>
    <row r="59" spans="1:9" ht="15" x14ac:dyDescent="0.4">
      <c r="A59" s="6">
        <v>306010453</v>
      </c>
      <c r="B59" s="6" t="s">
        <v>86</v>
      </c>
      <c r="C59" s="6" t="s">
        <v>88</v>
      </c>
      <c r="D59" s="6" t="s">
        <v>89</v>
      </c>
      <c r="E59" s="6">
        <v>130</v>
      </c>
      <c r="F59" s="6">
        <v>302003521</v>
      </c>
      <c r="G59" s="6" t="s">
        <v>125</v>
      </c>
      <c r="H59" s="6">
        <v>1</v>
      </c>
      <c r="I59" s="5">
        <f t="shared" si="2"/>
        <v>9</v>
      </c>
    </row>
    <row r="60" spans="1:9" ht="15" x14ac:dyDescent="0.4">
      <c r="A60" s="6">
        <v>306010453</v>
      </c>
      <c r="B60" s="6" t="s">
        <v>86</v>
      </c>
      <c r="C60" s="6" t="s">
        <v>88</v>
      </c>
      <c r="D60" s="6" t="s">
        <v>89</v>
      </c>
      <c r="E60" s="6">
        <v>120</v>
      </c>
      <c r="F60" s="6">
        <v>302004092</v>
      </c>
      <c r="G60" s="6" t="s">
        <v>126</v>
      </c>
      <c r="H60" s="6">
        <v>1</v>
      </c>
      <c r="I60" s="5">
        <f t="shared" si="2"/>
        <v>9</v>
      </c>
    </row>
    <row r="61" spans="1:9" ht="15" x14ac:dyDescent="0.4">
      <c r="A61" s="6">
        <v>306010453</v>
      </c>
      <c r="B61" s="6" t="s">
        <v>86</v>
      </c>
      <c r="C61" s="6" t="s">
        <v>88</v>
      </c>
      <c r="D61" s="6" t="s">
        <v>89</v>
      </c>
      <c r="E61" s="6">
        <v>150</v>
      </c>
      <c r="F61" s="6">
        <v>302003171</v>
      </c>
      <c r="G61" s="6" t="s">
        <v>101</v>
      </c>
      <c r="H61" s="6">
        <v>2</v>
      </c>
      <c r="I61" s="5">
        <f t="shared" si="2"/>
        <v>18</v>
      </c>
    </row>
    <row r="62" spans="1:9" ht="15" x14ac:dyDescent="0.4">
      <c r="A62" s="6">
        <v>306010453</v>
      </c>
      <c r="B62" s="6" t="s">
        <v>86</v>
      </c>
      <c r="C62" s="6" t="s">
        <v>88</v>
      </c>
      <c r="D62" s="6" t="s">
        <v>89</v>
      </c>
      <c r="E62" s="6">
        <v>140</v>
      </c>
      <c r="F62" s="6">
        <v>302004291</v>
      </c>
      <c r="G62" s="6" t="s">
        <v>129</v>
      </c>
      <c r="H62" s="6">
        <v>8</v>
      </c>
      <c r="I62" s="5">
        <f t="shared" si="2"/>
        <v>72</v>
      </c>
    </row>
    <row r="63" spans="1:9" ht="15" x14ac:dyDescent="0.4">
      <c r="A63" s="6">
        <v>306010453</v>
      </c>
      <c r="B63" s="6" t="s">
        <v>86</v>
      </c>
      <c r="C63" s="6" t="s">
        <v>88</v>
      </c>
      <c r="D63" s="6" t="s">
        <v>90</v>
      </c>
      <c r="E63" s="6">
        <v>170</v>
      </c>
      <c r="F63" s="6">
        <v>69001318</v>
      </c>
      <c r="G63" s="6" t="s">
        <v>128</v>
      </c>
      <c r="H63" s="6">
        <v>1</v>
      </c>
      <c r="I63" s="5">
        <f t="shared" si="2"/>
        <v>9</v>
      </c>
    </row>
    <row r="64" spans="1:9" ht="15" x14ac:dyDescent="0.4">
      <c r="A64" s="6">
        <v>306010453</v>
      </c>
      <c r="B64" s="6" t="s">
        <v>86</v>
      </c>
      <c r="C64" s="6" t="s">
        <v>88</v>
      </c>
      <c r="D64" s="6" t="s">
        <v>89</v>
      </c>
      <c r="E64" s="6">
        <v>160</v>
      </c>
      <c r="F64" s="6">
        <v>302003649</v>
      </c>
      <c r="G64" s="6" t="s">
        <v>102</v>
      </c>
      <c r="H64" s="6">
        <v>2</v>
      </c>
      <c r="I64" s="5">
        <f t="shared" si="2"/>
        <v>18</v>
      </c>
    </row>
    <row r="65" spans="1:9" ht="15" x14ac:dyDescent="0.4">
      <c r="A65" s="6">
        <v>306010453</v>
      </c>
      <c r="B65" s="6" t="s">
        <v>86</v>
      </c>
      <c r="C65" s="6" t="s">
        <v>88</v>
      </c>
      <c r="D65" s="6" t="s">
        <v>90</v>
      </c>
      <c r="E65" s="6">
        <v>190</v>
      </c>
      <c r="F65" s="6">
        <v>68000028</v>
      </c>
      <c r="G65" s="6" t="s">
        <v>116</v>
      </c>
      <c r="H65" s="6">
        <v>4</v>
      </c>
      <c r="I65" s="5">
        <f t="shared" si="2"/>
        <v>36</v>
      </c>
    </row>
    <row r="66" spans="1:9" ht="15" x14ac:dyDescent="0.4">
      <c r="A66" s="6">
        <v>306010453</v>
      </c>
      <c r="B66" s="6" t="s">
        <v>86</v>
      </c>
      <c r="C66" s="6" t="s">
        <v>88</v>
      </c>
      <c r="D66" s="6" t="s">
        <v>90</v>
      </c>
      <c r="E66" s="6">
        <v>180</v>
      </c>
      <c r="F66" s="6">
        <v>68000324</v>
      </c>
      <c r="G66" s="6" t="s">
        <v>32</v>
      </c>
      <c r="H66" s="6">
        <v>1</v>
      </c>
      <c r="I66" s="5">
        <f t="shared" si="2"/>
        <v>9</v>
      </c>
    </row>
    <row r="67" spans="1:9" ht="15" x14ac:dyDescent="0.4">
      <c r="A67" s="6">
        <v>306010453</v>
      </c>
      <c r="B67" s="6" t="s">
        <v>86</v>
      </c>
      <c r="C67" s="6" t="s">
        <v>88</v>
      </c>
      <c r="D67" s="6" t="s">
        <v>89</v>
      </c>
      <c r="E67" s="6">
        <v>200</v>
      </c>
      <c r="F67" s="6">
        <v>302000867</v>
      </c>
      <c r="G67" s="6" t="s">
        <v>117</v>
      </c>
      <c r="H67" s="6">
        <v>2</v>
      </c>
      <c r="I67" s="5">
        <f t="shared" si="2"/>
        <v>18</v>
      </c>
    </row>
    <row r="68" spans="1:9" x14ac:dyDescent="0.4">
      <c r="A68" s="7">
        <v>4</v>
      </c>
      <c r="B68" s="5"/>
      <c r="C68" s="5"/>
      <c r="D68" s="5"/>
      <c r="E68" s="5"/>
      <c r="F68" s="5"/>
      <c r="G68" s="5"/>
      <c r="H68" s="7">
        <v>335</v>
      </c>
      <c r="I68" s="5"/>
    </row>
    <row r="69" spans="1:9" ht="15" x14ac:dyDescent="0.4">
      <c r="A69" s="6">
        <v>306010452</v>
      </c>
      <c r="B69" s="6" t="s">
        <v>85</v>
      </c>
      <c r="C69" s="6" t="s">
        <v>88</v>
      </c>
      <c r="D69" s="6" t="s">
        <v>89</v>
      </c>
      <c r="E69" s="6">
        <v>230</v>
      </c>
      <c r="F69" s="6">
        <v>302000331</v>
      </c>
      <c r="G69" s="6" t="s">
        <v>109</v>
      </c>
      <c r="H69" s="6">
        <v>3</v>
      </c>
      <c r="I69" s="5">
        <f>H69*$H$68</f>
        <v>1005</v>
      </c>
    </row>
    <row r="70" spans="1:9" ht="15" x14ac:dyDescent="0.4">
      <c r="A70" s="6">
        <v>306010452</v>
      </c>
      <c r="B70" s="6" t="s">
        <v>85</v>
      </c>
      <c r="C70" s="6" t="s">
        <v>88</v>
      </c>
      <c r="D70" s="6" t="s">
        <v>89</v>
      </c>
      <c r="E70" s="6">
        <v>220</v>
      </c>
      <c r="F70" s="6">
        <v>302000271</v>
      </c>
      <c r="G70" s="6" t="s">
        <v>107</v>
      </c>
      <c r="H70" s="6">
        <v>4</v>
      </c>
      <c r="I70" s="5">
        <f t="shared" ref="I70:I91" si="3">H70*$H$68</f>
        <v>1340</v>
      </c>
    </row>
    <row r="71" spans="1:9" ht="15" x14ac:dyDescent="0.4">
      <c r="A71" s="6">
        <v>306010452</v>
      </c>
      <c r="B71" s="6" t="s">
        <v>85</v>
      </c>
      <c r="C71" s="6" t="s">
        <v>88</v>
      </c>
      <c r="D71" s="6" t="s">
        <v>90</v>
      </c>
      <c r="E71" s="6">
        <v>210</v>
      </c>
      <c r="F71" s="6">
        <v>68000027</v>
      </c>
      <c r="G71" s="6" t="s">
        <v>108</v>
      </c>
      <c r="H71" s="6">
        <v>8</v>
      </c>
      <c r="I71" s="5">
        <f t="shared" si="3"/>
        <v>2680</v>
      </c>
    </row>
    <row r="72" spans="1:9" ht="15" x14ac:dyDescent="0.4">
      <c r="A72" s="6">
        <v>306010452</v>
      </c>
      <c r="B72" s="6" t="s">
        <v>85</v>
      </c>
      <c r="C72" s="6" t="s">
        <v>88</v>
      </c>
      <c r="D72" s="6" t="s">
        <v>89</v>
      </c>
      <c r="E72" s="6">
        <v>200</v>
      </c>
      <c r="F72" s="6">
        <v>313000892</v>
      </c>
      <c r="G72" s="6" t="s">
        <v>105</v>
      </c>
      <c r="H72" s="6">
        <v>1</v>
      </c>
      <c r="I72" s="5">
        <f t="shared" si="3"/>
        <v>335</v>
      </c>
    </row>
    <row r="73" spans="1:9" ht="15" x14ac:dyDescent="0.4">
      <c r="A73" s="6">
        <v>306010452</v>
      </c>
      <c r="B73" s="6" t="s">
        <v>85</v>
      </c>
      <c r="C73" s="6" t="s">
        <v>88</v>
      </c>
      <c r="D73" s="6" t="s">
        <v>90</v>
      </c>
      <c r="E73" s="6">
        <v>190</v>
      </c>
      <c r="F73" s="6">
        <v>68000053</v>
      </c>
      <c r="G73" s="6" t="s">
        <v>106</v>
      </c>
      <c r="H73" s="6">
        <v>1</v>
      </c>
      <c r="I73" s="5">
        <f t="shared" si="3"/>
        <v>335</v>
      </c>
    </row>
    <row r="74" spans="1:9" ht="15" x14ac:dyDescent="0.4">
      <c r="A74" s="6">
        <v>306010452</v>
      </c>
      <c r="B74" s="6" t="s">
        <v>85</v>
      </c>
      <c r="C74" s="6" t="s">
        <v>88</v>
      </c>
      <c r="D74" s="6" t="s">
        <v>90</v>
      </c>
      <c r="E74" s="6">
        <v>180</v>
      </c>
      <c r="F74" s="6">
        <v>69001312</v>
      </c>
      <c r="G74" s="6" t="s">
        <v>103</v>
      </c>
      <c r="H74" s="6">
        <v>1</v>
      </c>
      <c r="I74" s="5">
        <f t="shared" si="3"/>
        <v>335</v>
      </c>
    </row>
    <row r="75" spans="1:9" ht="15" x14ac:dyDescent="0.4">
      <c r="A75" s="6">
        <v>306010452</v>
      </c>
      <c r="B75" s="6" t="s">
        <v>85</v>
      </c>
      <c r="C75" s="6" t="s">
        <v>88</v>
      </c>
      <c r="D75" s="6" t="s">
        <v>89</v>
      </c>
      <c r="E75" s="6">
        <v>150</v>
      </c>
      <c r="F75" s="6">
        <v>302000187</v>
      </c>
      <c r="G75" s="6" t="s">
        <v>44</v>
      </c>
      <c r="H75" s="6">
        <v>1</v>
      </c>
      <c r="I75" s="5">
        <f t="shared" si="3"/>
        <v>335</v>
      </c>
    </row>
    <row r="76" spans="1:9" ht="15" x14ac:dyDescent="0.4">
      <c r="A76" s="6">
        <v>306010452</v>
      </c>
      <c r="B76" s="6" t="s">
        <v>85</v>
      </c>
      <c r="C76" s="6" t="s">
        <v>88</v>
      </c>
      <c r="D76" s="6" t="s">
        <v>89</v>
      </c>
      <c r="E76" s="6">
        <v>170</v>
      </c>
      <c r="F76" s="6">
        <v>302003987</v>
      </c>
      <c r="G76" s="6" t="s">
        <v>104</v>
      </c>
      <c r="H76" s="6">
        <v>2</v>
      </c>
      <c r="I76" s="5">
        <f t="shared" si="3"/>
        <v>670</v>
      </c>
    </row>
    <row r="77" spans="1:9" ht="15" x14ac:dyDescent="0.4">
      <c r="A77" s="6">
        <v>306010452</v>
      </c>
      <c r="B77" s="6" t="s">
        <v>85</v>
      </c>
      <c r="C77" s="6" t="s">
        <v>88</v>
      </c>
      <c r="D77" s="6" t="s">
        <v>89</v>
      </c>
      <c r="E77" s="6">
        <v>130</v>
      </c>
      <c r="F77" s="6">
        <v>302003649</v>
      </c>
      <c r="G77" s="6" t="s">
        <v>102</v>
      </c>
      <c r="H77" s="6">
        <v>2</v>
      </c>
      <c r="I77" s="5">
        <f t="shared" si="3"/>
        <v>670</v>
      </c>
    </row>
    <row r="78" spans="1:9" ht="15" x14ac:dyDescent="0.4">
      <c r="A78" s="6">
        <v>306010452</v>
      </c>
      <c r="B78" s="6" t="s">
        <v>85</v>
      </c>
      <c r="C78" s="6" t="s">
        <v>88</v>
      </c>
      <c r="D78" s="6" t="s">
        <v>89</v>
      </c>
      <c r="E78" s="6">
        <v>160</v>
      </c>
      <c r="F78" s="6">
        <v>302000248</v>
      </c>
      <c r="G78" s="6" t="s">
        <v>47</v>
      </c>
      <c r="H78" s="6">
        <v>2</v>
      </c>
      <c r="I78" s="5">
        <f t="shared" si="3"/>
        <v>670</v>
      </c>
    </row>
    <row r="79" spans="1:9" ht="15" x14ac:dyDescent="0.4">
      <c r="A79" s="6">
        <v>306010452</v>
      </c>
      <c r="B79" s="6" t="s">
        <v>85</v>
      </c>
      <c r="C79" s="6" t="s">
        <v>88</v>
      </c>
      <c r="D79" s="6" t="s">
        <v>89</v>
      </c>
      <c r="E79" s="6">
        <v>110</v>
      </c>
      <c r="F79" s="6">
        <v>302001873</v>
      </c>
      <c r="G79" s="6" t="s">
        <v>42</v>
      </c>
      <c r="H79" s="6">
        <v>1</v>
      </c>
      <c r="I79" s="5">
        <f t="shared" si="3"/>
        <v>335</v>
      </c>
    </row>
    <row r="80" spans="1:9" ht="15" x14ac:dyDescent="0.4">
      <c r="A80" s="6">
        <v>306010452</v>
      </c>
      <c r="B80" s="6" t="s">
        <v>85</v>
      </c>
      <c r="C80" s="6" t="s">
        <v>88</v>
      </c>
      <c r="D80" s="6" t="s">
        <v>89</v>
      </c>
      <c r="E80" s="6">
        <v>140</v>
      </c>
      <c r="F80" s="6">
        <v>302003171</v>
      </c>
      <c r="G80" s="6" t="s">
        <v>101</v>
      </c>
      <c r="H80" s="6">
        <v>2</v>
      </c>
      <c r="I80" s="5">
        <f t="shared" si="3"/>
        <v>670</v>
      </c>
    </row>
    <row r="81" spans="1:9" ht="15" x14ac:dyDescent="0.4">
      <c r="A81" s="6">
        <v>306010452</v>
      </c>
      <c r="B81" s="6" t="s">
        <v>85</v>
      </c>
      <c r="C81" s="6" t="s">
        <v>88</v>
      </c>
      <c r="D81" s="6" t="s">
        <v>89</v>
      </c>
      <c r="E81" s="6">
        <v>90</v>
      </c>
      <c r="F81" s="6">
        <v>302001164</v>
      </c>
      <c r="G81" s="6" t="s">
        <v>99</v>
      </c>
      <c r="H81" s="6">
        <v>1</v>
      </c>
      <c r="I81" s="5">
        <f t="shared" si="3"/>
        <v>335</v>
      </c>
    </row>
    <row r="82" spans="1:9" ht="15" x14ac:dyDescent="0.4">
      <c r="A82" s="6">
        <v>306010452</v>
      </c>
      <c r="B82" s="6" t="s">
        <v>85</v>
      </c>
      <c r="C82" s="6" t="s">
        <v>88</v>
      </c>
      <c r="D82" s="6" t="s">
        <v>89</v>
      </c>
      <c r="E82" s="6">
        <v>120</v>
      </c>
      <c r="F82" s="6">
        <v>302000788</v>
      </c>
      <c r="G82" s="6" t="s">
        <v>100</v>
      </c>
      <c r="H82" s="6">
        <v>2</v>
      </c>
      <c r="I82" s="5">
        <f t="shared" si="3"/>
        <v>670</v>
      </c>
    </row>
    <row r="83" spans="1:9" ht="15" x14ac:dyDescent="0.4">
      <c r="A83" s="6">
        <v>306010452</v>
      </c>
      <c r="B83" s="6" t="s">
        <v>85</v>
      </c>
      <c r="C83" s="6" t="s">
        <v>88</v>
      </c>
      <c r="D83" s="6" t="s">
        <v>89</v>
      </c>
      <c r="E83" s="6">
        <v>70</v>
      </c>
      <c r="F83" s="6">
        <v>302000631</v>
      </c>
      <c r="G83" s="6" t="s">
        <v>97</v>
      </c>
      <c r="H83" s="6">
        <v>2</v>
      </c>
      <c r="I83" s="5">
        <f t="shared" si="3"/>
        <v>670</v>
      </c>
    </row>
    <row r="84" spans="1:9" ht="15" x14ac:dyDescent="0.4">
      <c r="A84" s="6">
        <v>306010452</v>
      </c>
      <c r="B84" s="6" t="s">
        <v>85</v>
      </c>
      <c r="C84" s="6" t="s">
        <v>88</v>
      </c>
      <c r="D84" s="6" t="s">
        <v>89</v>
      </c>
      <c r="E84" s="6">
        <v>100</v>
      </c>
      <c r="F84" s="6">
        <v>302000251</v>
      </c>
      <c r="G84" s="6" t="s">
        <v>98</v>
      </c>
      <c r="H84" s="6">
        <v>2</v>
      </c>
      <c r="I84" s="5">
        <f t="shared" si="3"/>
        <v>670</v>
      </c>
    </row>
    <row r="85" spans="1:9" ht="15" x14ac:dyDescent="0.4">
      <c r="A85" s="6">
        <v>306010452</v>
      </c>
      <c r="B85" s="6" t="s">
        <v>85</v>
      </c>
      <c r="C85" s="6" t="s">
        <v>88</v>
      </c>
      <c r="D85" s="6" t="s">
        <v>89</v>
      </c>
      <c r="E85" s="6">
        <v>30</v>
      </c>
      <c r="F85" s="6">
        <v>302004338</v>
      </c>
      <c r="G85" s="6" t="s">
        <v>93</v>
      </c>
      <c r="H85" s="6">
        <v>12</v>
      </c>
      <c r="I85" s="5">
        <f t="shared" si="3"/>
        <v>4020</v>
      </c>
    </row>
    <row r="86" spans="1:9" ht="15" x14ac:dyDescent="0.4">
      <c r="A86" s="6">
        <v>306010452</v>
      </c>
      <c r="B86" s="6" t="s">
        <v>85</v>
      </c>
      <c r="C86" s="6" t="s">
        <v>88</v>
      </c>
      <c r="D86" s="6" t="s">
        <v>89</v>
      </c>
      <c r="E86" s="6">
        <v>60</v>
      </c>
      <c r="F86" s="6">
        <v>302000315</v>
      </c>
      <c r="G86" s="6" t="s">
        <v>94</v>
      </c>
      <c r="H86" s="6">
        <v>1</v>
      </c>
      <c r="I86" s="5">
        <f t="shared" si="3"/>
        <v>335</v>
      </c>
    </row>
    <row r="87" spans="1:9" ht="15" x14ac:dyDescent="0.4">
      <c r="A87" s="6">
        <v>306010452</v>
      </c>
      <c r="B87" s="6" t="s">
        <v>85</v>
      </c>
      <c r="C87" s="6" t="s">
        <v>88</v>
      </c>
      <c r="D87" s="6" t="s">
        <v>90</v>
      </c>
      <c r="E87" s="6">
        <v>10</v>
      </c>
      <c r="F87" s="6">
        <v>68000338</v>
      </c>
      <c r="G87" s="6" t="s">
        <v>91</v>
      </c>
      <c r="H87" s="6">
        <v>1</v>
      </c>
      <c r="I87" s="5">
        <f t="shared" si="3"/>
        <v>335</v>
      </c>
    </row>
    <row r="88" spans="1:9" ht="15" x14ac:dyDescent="0.4">
      <c r="A88" s="6">
        <v>306010452</v>
      </c>
      <c r="B88" s="6" t="s">
        <v>85</v>
      </c>
      <c r="C88" s="6" t="s">
        <v>88</v>
      </c>
      <c r="D88" s="6" t="s">
        <v>90</v>
      </c>
      <c r="E88" s="6">
        <v>40</v>
      </c>
      <c r="F88" s="6">
        <v>68000179</v>
      </c>
      <c r="G88" s="6" t="s">
        <v>92</v>
      </c>
      <c r="H88" s="6">
        <v>2</v>
      </c>
      <c r="I88" s="5">
        <f t="shared" si="3"/>
        <v>670</v>
      </c>
    </row>
    <row r="89" spans="1:9" ht="15" x14ac:dyDescent="0.4">
      <c r="A89" s="6">
        <v>306010452</v>
      </c>
      <c r="B89" s="6" t="s">
        <v>85</v>
      </c>
      <c r="C89" s="6" t="s">
        <v>88</v>
      </c>
      <c r="D89" s="6" t="s">
        <v>89</v>
      </c>
      <c r="E89" s="6">
        <v>20</v>
      </c>
      <c r="F89" s="6">
        <v>302001363</v>
      </c>
      <c r="G89" s="6" t="s">
        <v>36</v>
      </c>
      <c r="H89" s="6">
        <v>1</v>
      </c>
      <c r="I89" s="5">
        <f t="shared" si="3"/>
        <v>335</v>
      </c>
    </row>
    <row r="90" spans="1:9" ht="15" x14ac:dyDescent="0.4">
      <c r="A90" s="6">
        <v>306010452</v>
      </c>
      <c r="B90" s="6" t="s">
        <v>85</v>
      </c>
      <c r="C90" s="6" t="s">
        <v>88</v>
      </c>
      <c r="D90" s="6" t="s">
        <v>89</v>
      </c>
      <c r="E90" s="6">
        <v>50</v>
      </c>
      <c r="F90" s="6">
        <v>302003586</v>
      </c>
      <c r="G90" s="6" t="s">
        <v>95</v>
      </c>
      <c r="H90" s="6">
        <v>1</v>
      </c>
      <c r="I90" s="5">
        <f t="shared" si="3"/>
        <v>335</v>
      </c>
    </row>
    <row r="91" spans="1:9" ht="15" x14ac:dyDescent="0.4">
      <c r="A91" s="6">
        <v>306010452</v>
      </c>
      <c r="B91" s="6" t="s">
        <v>85</v>
      </c>
      <c r="C91" s="6" t="s">
        <v>88</v>
      </c>
      <c r="D91" s="6" t="s">
        <v>89</v>
      </c>
      <c r="E91" s="6">
        <v>80</v>
      </c>
      <c r="F91" s="6">
        <v>302003642</v>
      </c>
      <c r="G91" s="6" t="s">
        <v>130</v>
      </c>
      <c r="H91" s="6">
        <v>6</v>
      </c>
      <c r="I91" s="5">
        <f t="shared" si="3"/>
        <v>2010</v>
      </c>
    </row>
    <row r="92" spans="1:9" x14ac:dyDescent="0.4">
      <c r="A92" s="7">
        <v>5</v>
      </c>
      <c r="B92" s="5"/>
      <c r="C92" s="5"/>
      <c r="D92" s="5"/>
      <c r="E92" s="5"/>
      <c r="F92" s="5"/>
      <c r="G92" s="5"/>
      <c r="H92" s="7">
        <v>81</v>
      </c>
      <c r="I92" s="5"/>
    </row>
    <row r="93" spans="1:9" ht="15" x14ac:dyDescent="0.4">
      <c r="A93" s="6">
        <v>306010451</v>
      </c>
      <c r="B93" s="6" t="s">
        <v>85</v>
      </c>
      <c r="C93" s="6" t="s">
        <v>88</v>
      </c>
      <c r="D93" s="6" t="s">
        <v>89</v>
      </c>
      <c r="E93" s="6">
        <v>20</v>
      </c>
      <c r="F93" s="6">
        <v>302001363</v>
      </c>
      <c r="G93" s="6" t="s">
        <v>36</v>
      </c>
      <c r="H93" s="6">
        <v>1</v>
      </c>
      <c r="I93" s="5">
        <f>H93*$H$92</f>
        <v>81</v>
      </c>
    </row>
    <row r="94" spans="1:9" ht="15" x14ac:dyDescent="0.4">
      <c r="A94" s="6">
        <v>306010451</v>
      </c>
      <c r="B94" s="6" t="s">
        <v>85</v>
      </c>
      <c r="C94" s="6" t="s">
        <v>88</v>
      </c>
      <c r="D94" s="6" t="s">
        <v>90</v>
      </c>
      <c r="E94" s="6">
        <v>10</v>
      </c>
      <c r="F94" s="6">
        <v>68000338</v>
      </c>
      <c r="G94" s="6" t="s">
        <v>91</v>
      </c>
      <c r="H94" s="6">
        <v>1</v>
      </c>
      <c r="I94" s="5">
        <f t="shared" ref="I94:I115" si="4">H94*$H$92</f>
        <v>81</v>
      </c>
    </row>
    <row r="95" spans="1:9" ht="15" x14ac:dyDescent="0.4">
      <c r="A95" s="6">
        <v>306010451</v>
      </c>
      <c r="B95" s="6" t="s">
        <v>85</v>
      </c>
      <c r="C95" s="6" t="s">
        <v>88</v>
      </c>
      <c r="D95" s="6" t="s">
        <v>90</v>
      </c>
      <c r="E95" s="6">
        <v>40</v>
      </c>
      <c r="F95" s="6">
        <v>68000179</v>
      </c>
      <c r="G95" s="6" t="s">
        <v>92</v>
      </c>
      <c r="H95" s="6">
        <v>2</v>
      </c>
      <c r="I95" s="5">
        <f t="shared" si="4"/>
        <v>162</v>
      </c>
    </row>
    <row r="96" spans="1:9" ht="15" x14ac:dyDescent="0.4">
      <c r="A96" s="6">
        <v>306010451</v>
      </c>
      <c r="B96" s="6" t="s">
        <v>85</v>
      </c>
      <c r="C96" s="6" t="s">
        <v>88</v>
      </c>
      <c r="D96" s="6" t="s">
        <v>89</v>
      </c>
      <c r="E96" s="6">
        <v>30</v>
      </c>
      <c r="F96" s="6">
        <v>302004338</v>
      </c>
      <c r="G96" s="6" t="s">
        <v>93</v>
      </c>
      <c r="H96" s="6">
        <v>12</v>
      </c>
      <c r="I96" s="5">
        <f t="shared" si="4"/>
        <v>972</v>
      </c>
    </row>
    <row r="97" spans="1:9" ht="15" x14ac:dyDescent="0.4">
      <c r="A97" s="6">
        <v>306010451</v>
      </c>
      <c r="B97" s="6" t="s">
        <v>85</v>
      </c>
      <c r="C97" s="6" t="s">
        <v>88</v>
      </c>
      <c r="D97" s="6" t="s">
        <v>89</v>
      </c>
      <c r="E97" s="6">
        <v>60</v>
      </c>
      <c r="F97" s="6">
        <v>302000315</v>
      </c>
      <c r="G97" s="6" t="s">
        <v>94</v>
      </c>
      <c r="H97" s="6">
        <v>1</v>
      </c>
      <c r="I97" s="5">
        <f t="shared" si="4"/>
        <v>81</v>
      </c>
    </row>
    <row r="98" spans="1:9" ht="15" x14ac:dyDescent="0.4">
      <c r="A98" s="6">
        <v>306010451</v>
      </c>
      <c r="B98" s="6" t="s">
        <v>85</v>
      </c>
      <c r="C98" s="6" t="s">
        <v>88</v>
      </c>
      <c r="D98" s="6" t="s">
        <v>89</v>
      </c>
      <c r="E98" s="6">
        <v>50</v>
      </c>
      <c r="F98" s="6">
        <v>302003586</v>
      </c>
      <c r="G98" s="6" t="s">
        <v>95</v>
      </c>
      <c r="H98" s="6">
        <v>1</v>
      </c>
      <c r="I98" s="5">
        <f t="shared" si="4"/>
        <v>81</v>
      </c>
    </row>
    <row r="99" spans="1:9" ht="15" x14ac:dyDescent="0.4">
      <c r="A99" s="6">
        <v>306010451</v>
      </c>
      <c r="B99" s="6" t="s">
        <v>85</v>
      </c>
      <c r="C99" s="6" t="s">
        <v>88</v>
      </c>
      <c r="D99" s="6" t="s">
        <v>89</v>
      </c>
      <c r="E99" s="6">
        <v>80</v>
      </c>
      <c r="F99" s="6">
        <v>302004227</v>
      </c>
      <c r="G99" s="6" t="s">
        <v>119</v>
      </c>
      <c r="H99" s="6">
        <v>6</v>
      </c>
      <c r="I99" s="5">
        <f t="shared" si="4"/>
        <v>486</v>
      </c>
    </row>
    <row r="100" spans="1:9" ht="15" x14ac:dyDescent="0.4">
      <c r="A100" s="6">
        <v>306010451</v>
      </c>
      <c r="B100" s="6" t="s">
        <v>85</v>
      </c>
      <c r="C100" s="6" t="s">
        <v>88</v>
      </c>
      <c r="D100" s="6" t="s">
        <v>89</v>
      </c>
      <c r="E100" s="6">
        <v>70</v>
      </c>
      <c r="F100" s="6">
        <v>302000631</v>
      </c>
      <c r="G100" s="6" t="s">
        <v>97</v>
      </c>
      <c r="H100" s="6">
        <v>2</v>
      </c>
      <c r="I100" s="5">
        <f t="shared" si="4"/>
        <v>162</v>
      </c>
    </row>
    <row r="101" spans="1:9" ht="15" x14ac:dyDescent="0.4">
      <c r="A101" s="6">
        <v>306010451</v>
      </c>
      <c r="B101" s="6" t="s">
        <v>85</v>
      </c>
      <c r="C101" s="6" t="s">
        <v>88</v>
      </c>
      <c r="D101" s="6" t="s">
        <v>89</v>
      </c>
      <c r="E101" s="6">
        <v>100</v>
      </c>
      <c r="F101" s="6">
        <v>302000251</v>
      </c>
      <c r="G101" s="6" t="s">
        <v>98</v>
      </c>
      <c r="H101" s="6">
        <v>2</v>
      </c>
      <c r="I101" s="5">
        <f t="shared" si="4"/>
        <v>162</v>
      </c>
    </row>
    <row r="102" spans="1:9" ht="15" x14ac:dyDescent="0.4">
      <c r="A102" s="6">
        <v>306010451</v>
      </c>
      <c r="B102" s="6" t="s">
        <v>85</v>
      </c>
      <c r="C102" s="6" t="s">
        <v>88</v>
      </c>
      <c r="D102" s="6" t="s">
        <v>89</v>
      </c>
      <c r="E102" s="6">
        <v>90</v>
      </c>
      <c r="F102" s="6">
        <v>302001164</v>
      </c>
      <c r="G102" s="6" t="s">
        <v>99</v>
      </c>
      <c r="H102" s="6">
        <v>1</v>
      </c>
      <c r="I102" s="5">
        <f t="shared" si="4"/>
        <v>81</v>
      </c>
    </row>
    <row r="103" spans="1:9" ht="15" x14ac:dyDescent="0.4">
      <c r="A103" s="6">
        <v>306010451</v>
      </c>
      <c r="B103" s="6" t="s">
        <v>85</v>
      </c>
      <c r="C103" s="6" t="s">
        <v>88</v>
      </c>
      <c r="D103" s="6" t="s">
        <v>89</v>
      </c>
      <c r="E103" s="6">
        <v>120</v>
      </c>
      <c r="F103" s="6">
        <v>302000788</v>
      </c>
      <c r="G103" s="6" t="s">
        <v>100</v>
      </c>
      <c r="H103" s="6">
        <v>2</v>
      </c>
      <c r="I103" s="5">
        <f t="shared" si="4"/>
        <v>162</v>
      </c>
    </row>
    <row r="104" spans="1:9" ht="15" x14ac:dyDescent="0.4">
      <c r="A104" s="6">
        <v>306010451</v>
      </c>
      <c r="B104" s="6" t="s">
        <v>85</v>
      </c>
      <c r="C104" s="6" t="s">
        <v>88</v>
      </c>
      <c r="D104" s="6" t="s">
        <v>89</v>
      </c>
      <c r="E104" s="6">
        <v>110</v>
      </c>
      <c r="F104" s="6">
        <v>302001873</v>
      </c>
      <c r="G104" s="6" t="s">
        <v>42</v>
      </c>
      <c r="H104" s="6">
        <v>1</v>
      </c>
      <c r="I104" s="5">
        <f t="shared" si="4"/>
        <v>81</v>
      </c>
    </row>
    <row r="105" spans="1:9" ht="15" x14ac:dyDescent="0.4">
      <c r="A105" s="6">
        <v>306010451</v>
      </c>
      <c r="B105" s="6" t="s">
        <v>85</v>
      </c>
      <c r="C105" s="6" t="s">
        <v>88</v>
      </c>
      <c r="D105" s="6" t="s">
        <v>89</v>
      </c>
      <c r="E105" s="6">
        <v>140</v>
      </c>
      <c r="F105" s="6">
        <v>302003171</v>
      </c>
      <c r="G105" s="6" t="s">
        <v>101</v>
      </c>
      <c r="H105" s="6">
        <v>2</v>
      </c>
      <c r="I105" s="5">
        <f t="shared" si="4"/>
        <v>162</v>
      </c>
    </row>
    <row r="106" spans="1:9" ht="15" x14ac:dyDescent="0.4">
      <c r="A106" s="6">
        <v>306010451</v>
      </c>
      <c r="B106" s="6" t="s">
        <v>85</v>
      </c>
      <c r="C106" s="6" t="s">
        <v>88</v>
      </c>
      <c r="D106" s="6" t="s">
        <v>89</v>
      </c>
      <c r="E106" s="6">
        <v>130</v>
      </c>
      <c r="F106" s="6">
        <v>302003649</v>
      </c>
      <c r="G106" s="6" t="s">
        <v>102</v>
      </c>
      <c r="H106" s="6">
        <v>2</v>
      </c>
      <c r="I106" s="5">
        <f t="shared" si="4"/>
        <v>162</v>
      </c>
    </row>
    <row r="107" spans="1:9" ht="15" x14ac:dyDescent="0.4">
      <c r="A107" s="6">
        <v>306010451</v>
      </c>
      <c r="B107" s="6" t="s">
        <v>85</v>
      </c>
      <c r="C107" s="6" t="s">
        <v>88</v>
      </c>
      <c r="D107" s="6" t="s">
        <v>89</v>
      </c>
      <c r="E107" s="6">
        <v>160</v>
      </c>
      <c r="F107" s="6">
        <v>302000248</v>
      </c>
      <c r="G107" s="6" t="s">
        <v>47</v>
      </c>
      <c r="H107" s="6">
        <v>2</v>
      </c>
      <c r="I107" s="5">
        <f t="shared" si="4"/>
        <v>162</v>
      </c>
    </row>
    <row r="108" spans="1:9" ht="15" x14ac:dyDescent="0.4">
      <c r="A108" s="6">
        <v>306010451</v>
      </c>
      <c r="B108" s="6" t="s">
        <v>85</v>
      </c>
      <c r="C108" s="6" t="s">
        <v>88</v>
      </c>
      <c r="D108" s="6" t="s">
        <v>89</v>
      </c>
      <c r="E108" s="6">
        <v>150</v>
      </c>
      <c r="F108" s="6">
        <v>302000187</v>
      </c>
      <c r="G108" s="6" t="s">
        <v>44</v>
      </c>
      <c r="H108" s="6">
        <v>1</v>
      </c>
      <c r="I108" s="5">
        <f t="shared" si="4"/>
        <v>81</v>
      </c>
    </row>
    <row r="109" spans="1:9" ht="15" x14ac:dyDescent="0.4">
      <c r="A109" s="6">
        <v>306010451</v>
      </c>
      <c r="B109" s="6" t="s">
        <v>85</v>
      </c>
      <c r="C109" s="6" t="s">
        <v>88</v>
      </c>
      <c r="D109" s="6" t="s">
        <v>90</v>
      </c>
      <c r="E109" s="6">
        <v>180</v>
      </c>
      <c r="F109" s="6">
        <v>69001312</v>
      </c>
      <c r="G109" s="6" t="s">
        <v>103</v>
      </c>
      <c r="H109" s="6">
        <v>1</v>
      </c>
      <c r="I109" s="5">
        <f t="shared" si="4"/>
        <v>81</v>
      </c>
    </row>
    <row r="110" spans="1:9" ht="15" x14ac:dyDescent="0.4">
      <c r="A110" s="6">
        <v>306010451</v>
      </c>
      <c r="B110" s="6" t="s">
        <v>85</v>
      </c>
      <c r="C110" s="6" t="s">
        <v>88</v>
      </c>
      <c r="D110" s="6" t="s">
        <v>89</v>
      </c>
      <c r="E110" s="6">
        <v>170</v>
      </c>
      <c r="F110" s="6">
        <v>302003987</v>
      </c>
      <c r="G110" s="6" t="s">
        <v>104</v>
      </c>
      <c r="H110" s="6">
        <v>2</v>
      </c>
      <c r="I110" s="5">
        <f t="shared" si="4"/>
        <v>162</v>
      </c>
    </row>
    <row r="111" spans="1:9" ht="15" x14ac:dyDescent="0.4">
      <c r="A111" s="6">
        <v>306010451</v>
      </c>
      <c r="B111" s="6" t="s">
        <v>85</v>
      </c>
      <c r="C111" s="6" t="s">
        <v>88</v>
      </c>
      <c r="D111" s="6" t="s">
        <v>89</v>
      </c>
      <c r="E111" s="6">
        <v>200</v>
      </c>
      <c r="F111" s="6">
        <v>313000892</v>
      </c>
      <c r="G111" s="6" t="s">
        <v>105</v>
      </c>
      <c r="H111" s="6">
        <v>1</v>
      </c>
      <c r="I111" s="5">
        <f t="shared" si="4"/>
        <v>81</v>
      </c>
    </row>
    <row r="112" spans="1:9" ht="15" x14ac:dyDescent="0.4">
      <c r="A112" s="6">
        <v>306010451</v>
      </c>
      <c r="B112" s="6" t="s">
        <v>85</v>
      </c>
      <c r="C112" s="6" t="s">
        <v>88</v>
      </c>
      <c r="D112" s="6" t="s">
        <v>90</v>
      </c>
      <c r="E112" s="6">
        <v>190</v>
      </c>
      <c r="F112" s="6">
        <v>68000053</v>
      </c>
      <c r="G112" s="6" t="s">
        <v>106</v>
      </c>
      <c r="H112" s="6">
        <v>1</v>
      </c>
      <c r="I112" s="5">
        <f t="shared" si="4"/>
        <v>81</v>
      </c>
    </row>
    <row r="113" spans="1:9" ht="15" x14ac:dyDescent="0.4">
      <c r="A113" s="6">
        <v>306010451</v>
      </c>
      <c r="B113" s="6" t="s">
        <v>85</v>
      </c>
      <c r="C113" s="6" t="s">
        <v>88</v>
      </c>
      <c r="D113" s="6" t="s">
        <v>89</v>
      </c>
      <c r="E113" s="6">
        <v>220</v>
      </c>
      <c r="F113" s="6">
        <v>302000271</v>
      </c>
      <c r="G113" s="6" t="s">
        <v>107</v>
      </c>
      <c r="H113" s="6">
        <v>4</v>
      </c>
      <c r="I113" s="5">
        <f t="shared" si="4"/>
        <v>324</v>
      </c>
    </row>
    <row r="114" spans="1:9" ht="15" x14ac:dyDescent="0.4">
      <c r="A114" s="6">
        <v>306010451</v>
      </c>
      <c r="B114" s="6" t="s">
        <v>85</v>
      </c>
      <c r="C114" s="6" t="s">
        <v>88</v>
      </c>
      <c r="D114" s="6" t="s">
        <v>90</v>
      </c>
      <c r="E114" s="6">
        <v>210</v>
      </c>
      <c r="F114" s="6">
        <v>68000027</v>
      </c>
      <c r="G114" s="6" t="s">
        <v>108</v>
      </c>
      <c r="H114" s="6">
        <v>8</v>
      </c>
      <c r="I114" s="5">
        <f t="shared" si="4"/>
        <v>648</v>
      </c>
    </row>
    <row r="115" spans="1:9" ht="15" x14ac:dyDescent="0.4">
      <c r="A115" s="6">
        <v>306010451</v>
      </c>
      <c r="B115" s="6" t="s">
        <v>85</v>
      </c>
      <c r="C115" s="6" t="s">
        <v>88</v>
      </c>
      <c r="D115" s="6" t="s">
        <v>89</v>
      </c>
      <c r="E115" s="6">
        <v>230</v>
      </c>
      <c r="F115" s="6">
        <v>302000331</v>
      </c>
      <c r="G115" s="6" t="s">
        <v>109</v>
      </c>
      <c r="H115" s="6">
        <v>3</v>
      </c>
      <c r="I115" s="5">
        <f t="shared" si="4"/>
        <v>243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36FE9-38BC-4485-B77F-2499BBF6AF4A}">
  <sheetPr>
    <tabColor rgb="FF00B050"/>
  </sheetPr>
  <dimension ref="A3:B45"/>
  <sheetViews>
    <sheetView workbookViewId="0">
      <selection activeCell="A43" sqref="A43:XFD43"/>
    </sheetView>
  </sheetViews>
  <sheetFormatPr defaultRowHeight="14" x14ac:dyDescent="0.3"/>
  <cols>
    <col min="1" max="1" width="10.5" bestFit="1" customWidth="1"/>
    <col min="2" max="2" width="13.58203125" bestFit="1" customWidth="1"/>
  </cols>
  <sheetData>
    <row r="3" spans="1:2" x14ac:dyDescent="0.3">
      <c r="A3" s="8" t="s">
        <v>131</v>
      </c>
      <c r="B3" t="s">
        <v>133</v>
      </c>
    </row>
    <row r="4" spans="1:2" x14ac:dyDescent="0.3">
      <c r="A4" s="9">
        <v>68000027</v>
      </c>
      <c r="B4">
        <v>5024</v>
      </c>
    </row>
    <row r="5" spans="1:2" x14ac:dyDescent="0.3">
      <c r="A5" s="9">
        <v>68000028</v>
      </c>
      <c r="B5">
        <v>180</v>
      </c>
    </row>
    <row r="6" spans="1:2" x14ac:dyDescent="0.3">
      <c r="A6" s="9">
        <v>68000053</v>
      </c>
      <c r="B6">
        <v>628</v>
      </c>
    </row>
    <row r="7" spans="1:2" x14ac:dyDescent="0.3">
      <c r="A7" s="9">
        <v>68000179</v>
      </c>
      <c r="B7">
        <v>1256</v>
      </c>
    </row>
    <row r="8" spans="1:2" x14ac:dyDescent="0.3">
      <c r="A8" s="9">
        <v>68000310</v>
      </c>
      <c r="B8">
        <v>45</v>
      </c>
    </row>
    <row r="9" spans="1:2" x14ac:dyDescent="0.3">
      <c r="A9" s="9">
        <v>68000324</v>
      </c>
      <c r="B9">
        <v>45</v>
      </c>
    </row>
    <row r="10" spans="1:2" x14ac:dyDescent="0.3">
      <c r="A10" s="9">
        <v>68000338</v>
      </c>
      <c r="B10">
        <v>628</v>
      </c>
    </row>
    <row r="11" spans="1:2" x14ac:dyDescent="0.3">
      <c r="A11" s="9">
        <v>69001312</v>
      </c>
      <c r="B11">
        <v>628</v>
      </c>
    </row>
    <row r="12" spans="1:2" x14ac:dyDescent="0.3">
      <c r="A12" s="9">
        <v>69001318</v>
      </c>
      <c r="B12">
        <v>45</v>
      </c>
    </row>
    <row r="13" spans="1:2" x14ac:dyDescent="0.3">
      <c r="A13" s="9">
        <v>302000187</v>
      </c>
      <c r="B13">
        <v>628</v>
      </c>
    </row>
    <row r="14" spans="1:2" x14ac:dyDescent="0.3">
      <c r="A14" s="9">
        <v>302000248</v>
      </c>
      <c r="B14">
        <v>1256</v>
      </c>
    </row>
    <row r="15" spans="1:2" x14ac:dyDescent="0.3">
      <c r="A15" s="9">
        <v>302000251</v>
      </c>
      <c r="B15">
        <v>1256</v>
      </c>
    </row>
    <row r="16" spans="1:2" x14ac:dyDescent="0.3">
      <c r="A16" s="9">
        <v>302000271</v>
      </c>
      <c r="B16">
        <v>2512</v>
      </c>
    </row>
    <row r="17" spans="1:2" x14ac:dyDescent="0.3">
      <c r="A17" s="9">
        <v>302000315</v>
      </c>
      <c r="B17">
        <v>673</v>
      </c>
    </row>
    <row r="18" spans="1:2" x14ac:dyDescent="0.3">
      <c r="A18" s="9">
        <v>302000331</v>
      </c>
      <c r="B18">
        <v>1884</v>
      </c>
    </row>
    <row r="19" spans="1:2" x14ac:dyDescent="0.3">
      <c r="A19" s="9">
        <v>302000631</v>
      </c>
      <c r="B19">
        <v>1256</v>
      </c>
    </row>
    <row r="20" spans="1:2" x14ac:dyDescent="0.3">
      <c r="A20" s="9">
        <v>302000788</v>
      </c>
      <c r="B20">
        <v>1256</v>
      </c>
    </row>
    <row r="21" spans="1:2" x14ac:dyDescent="0.3">
      <c r="A21" s="9">
        <v>302000867</v>
      </c>
      <c r="B21">
        <v>90</v>
      </c>
    </row>
    <row r="22" spans="1:2" x14ac:dyDescent="0.3">
      <c r="A22" s="9">
        <v>302001164</v>
      </c>
      <c r="B22">
        <v>628</v>
      </c>
    </row>
    <row r="23" spans="1:2" x14ac:dyDescent="0.3">
      <c r="A23" s="9">
        <v>302001349</v>
      </c>
      <c r="B23">
        <v>90</v>
      </c>
    </row>
    <row r="24" spans="1:2" x14ac:dyDescent="0.3">
      <c r="A24" s="9">
        <v>302001363</v>
      </c>
      <c r="B24">
        <v>628</v>
      </c>
    </row>
    <row r="25" spans="1:2" x14ac:dyDescent="0.3">
      <c r="A25" s="9">
        <v>302001844</v>
      </c>
      <c r="B25">
        <v>45</v>
      </c>
    </row>
    <row r="26" spans="1:2" x14ac:dyDescent="0.3">
      <c r="A26" s="9">
        <v>302001873</v>
      </c>
      <c r="B26">
        <v>628</v>
      </c>
    </row>
    <row r="27" spans="1:2" x14ac:dyDescent="0.3">
      <c r="A27" s="9">
        <v>302002612</v>
      </c>
      <c r="B27">
        <v>45</v>
      </c>
    </row>
    <row r="28" spans="1:2" x14ac:dyDescent="0.3">
      <c r="A28" s="9">
        <v>302003171</v>
      </c>
      <c r="B28">
        <v>1346</v>
      </c>
    </row>
    <row r="29" spans="1:2" x14ac:dyDescent="0.3">
      <c r="A29" s="9">
        <v>302003521</v>
      </c>
      <c r="B29">
        <v>45</v>
      </c>
    </row>
    <row r="30" spans="1:2" x14ac:dyDescent="0.3">
      <c r="A30" s="9">
        <v>302003536</v>
      </c>
      <c r="B30">
        <v>1272</v>
      </c>
    </row>
    <row r="31" spans="1:2" x14ac:dyDescent="0.3">
      <c r="A31" s="9">
        <v>302003586</v>
      </c>
      <c r="B31">
        <v>673</v>
      </c>
    </row>
    <row r="32" spans="1:2" x14ac:dyDescent="0.3">
      <c r="A32" s="9">
        <v>302003642</v>
      </c>
      <c r="B32">
        <v>2010</v>
      </c>
    </row>
    <row r="33" spans="1:2" x14ac:dyDescent="0.3">
      <c r="A33" s="9">
        <v>302003649</v>
      </c>
      <c r="B33">
        <v>1346</v>
      </c>
    </row>
    <row r="34" spans="1:2" x14ac:dyDescent="0.3">
      <c r="A34" s="9">
        <v>302003810</v>
      </c>
      <c r="B34">
        <v>45</v>
      </c>
    </row>
    <row r="35" spans="1:2" x14ac:dyDescent="0.3">
      <c r="A35" s="9">
        <v>302003941</v>
      </c>
      <c r="B35">
        <v>180</v>
      </c>
    </row>
    <row r="36" spans="1:2" x14ac:dyDescent="0.3">
      <c r="A36" s="9">
        <v>302003987</v>
      </c>
      <c r="B36">
        <v>1256</v>
      </c>
    </row>
    <row r="37" spans="1:2" x14ac:dyDescent="0.3">
      <c r="A37" s="9">
        <v>302004092</v>
      </c>
      <c r="B37">
        <v>45</v>
      </c>
    </row>
    <row r="38" spans="1:2" x14ac:dyDescent="0.3">
      <c r="A38" s="9">
        <v>302004159</v>
      </c>
      <c r="B38">
        <v>288</v>
      </c>
    </row>
    <row r="39" spans="1:2" x14ac:dyDescent="0.3">
      <c r="A39" s="9">
        <v>302004227</v>
      </c>
      <c r="B39">
        <v>576</v>
      </c>
    </row>
    <row r="40" spans="1:2" x14ac:dyDescent="0.3">
      <c r="A40" s="9">
        <v>302004291</v>
      </c>
      <c r="B40">
        <v>72</v>
      </c>
    </row>
    <row r="41" spans="1:2" x14ac:dyDescent="0.3">
      <c r="A41" s="9">
        <v>302004338</v>
      </c>
      <c r="B41">
        <v>8976</v>
      </c>
    </row>
    <row r="42" spans="1:2" x14ac:dyDescent="0.3">
      <c r="A42" s="9">
        <v>304000492</v>
      </c>
      <c r="B42">
        <v>45</v>
      </c>
    </row>
    <row r="43" spans="1:2" x14ac:dyDescent="0.3">
      <c r="A43" s="9">
        <v>313000892</v>
      </c>
      <c r="B43">
        <v>628</v>
      </c>
    </row>
    <row r="44" spans="1:2" x14ac:dyDescent="0.3">
      <c r="A44" s="9" t="s">
        <v>136</v>
      </c>
    </row>
    <row r="45" spans="1:2" x14ac:dyDescent="0.3">
      <c r="A45" s="9" t="s">
        <v>132</v>
      </c>
      <c r="B45">
        <v>40157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2700C-373E-40C3-BB2A-1AB511906193}">
  <sheetPr>
    <tabColor rgb="FF00B050"/>
  </sheetPr>
  <dimension ref="A1:E56"/>
  <sheetViews>
    <sheetView tabSelected="1" workbookViewId="0">
      <selection activeCell="E1" sqref="E1"/>
    </sheetView>
  </sheetViews>
  <sheetFormatPr defaultColWidth="9" defaultRowHeight="14.5" x14ac:dyDescent="0.4"/>
  <cols>
    <col min="1" max="1" width="12" style="4" bestFit="1" customWidth="1"/>
    <col min="2" max="2" width="51" style="4" bestFit="1" customWidth="1"/>
    <col min="3" max="4" width="9" style="4"/>
    <col min="5" max="5" width="15.33203125" style="4" bestFit="1" customWidth="1"/>
    <col min="6" max="16384" width="9" style="4"/>
  </cols>
  <sheetData>
    <row r="1" spans="1:5" x14ac:dyDescent="0.4">
      <c r="A1" s="7" t="s">
        <v>76</v>
      </c>
      <c r="B1" s="7" t="s">
        <v>77</v>
      </c>
      <c r="C1" s="7" t="s">
        <v>137</v>
      </c>
      <c r="D1" s="7" t="s">
        <v>138</v>
      </c>
      <c r="E1" s="7" t="s">
        <v>151</v>
      </c>
    </row>
    <row r="2" spans="1:5" x14ac:dyDescent="0.4">
      <c r="A2" s="10">
        <v>68000027</v>
      </c>
      <c r="B2" s="5" t="str">
        <f>VLOOKUP(A2,'表2-3 产品BOM'!$F$3:$G$115,2,0)</f>
        <v>2.5转3.5英寸硬盘托架组合</v>
      </c>
      <c r="C2" s="5">
        <v>0</v>
      </c>
      <c r="D2" s="5">
        <f>VLOOKUP(A2,'表2-4 销售物料汇总'!$A$4:$B$43,2,0)</f>
        <v>5024</v>
      </c>
      <c r="E2" s="5">
        <f>C2-D2</f>
        <v>-5024</v>
      </c>
    </row>
    <row r="3" spans="1:5" x14ac:dyDescent="0.4">
      <c r="A3" s="10">
        <v>68000028</v>
      </c>
      <c r="B3" s="5" t="str">
        <f>VLOOKUP(A3,'表2-3 产品BOM'!$F$3:$G$115,2,0)</f>
        <v>神码客制化2.5英寸硬盘托架组合</v>
      </c>
      <c r="C3" s="5">
        <v>0</v>
      </c>
      <c r="D3" s="5">
        <f>VLOOKUP(A3,'表2-4 销售物料汇总'!$A$4:$B$43,2,0)</f>
        <v>180</v>
      </c>
      <c r="E3" s="5">
        <f t="shared" ref="E3:E56" si="0">C3-D3</f>
        <v>-180</v>
      </c>
    </row>
    <row r="4" spans="1:5" x14ac:dyDescent="0.4">
      <c r="A4" s="10">
        <v>68000053</v>
      </c>
      <c r="B4" s="5" t="str">
        <f>VLOOKUP(A4,'表1-1 备货配置BOM'!$C$3:$D$55,2,0)</f>
        <v>S920S00？VE主板 BIOS 1711BMC  CPLD</v>
      </c>
      <c r="C4" s="5">
        <f>VLOOKUP(A4,'表1-2 备货物料汇总'!$A$4:$B$36,2,0)</f>
        <v>628</v>
      </c>
      <c r="D4" s="5">
        <f>VLOOKUP(A4,'表2-4 销售物料汇总'!$A$4:$B$43,2,0)</f>
        <v>628</v>
      </c>
      <c r="E4" s="5">
        <f t="shared" si="0"/>
        <v>0</v>
      </c>
    </row>
    <row r="5" spans="1:5" x14ac:dyDescent="0.4">
      <c r="A5" s="10">
        <v>68000179</v>
      </c>
      <c r="B5" s="5" t="str">
        <f>VLOOKUP(A5,'表2-3 产品BOM'!$F$3:$G$115,2,0)</f>
        <v>3*16X SLOT (PCIe X8)RISER1/2</v>
      </c>
      <c r="C5" s="5">
        <v>0</v>
      </c>
      <c r="D5" s="5">
        <f>VLOOKUP(A5,'表2-4 销售物料汇总'!$A$4:$B$43,2,0)</f>
        <v>1256</v>
      </c>
      <c r="E5" s="5">
        <f t="shared" si="0"/>
        <v>-1256</v>
      </c>
    </row>
    <row r="6" spans="1:5" x14ac:dyDescent="0.4">
      <c r="A6" s="10">
        <v>68000310</v>
      </c>
      <c r="B6" s="5" t="str">
        <f>VLOOKUP(A6,'表1-1 备货配置BOM'!$C$3:$D$55,2,0)</f>
        <v>02315HQP-70B_48C@2.6GHz_DS一体机底座</v>
      </c>
      <c r="C6" s="5">
        <f>VLOOKUP(A6,'表1-2 备货物料汇总'!$A$4:$B$36,2,0)</f>
        <v>45</v>
      </c>
      <c r="D6" s="5">
        <f>VLOOKUP(A6,'表2-4 销售物料汇总'!$A$4:$B$43,2,0)</f>
        <v>45</v>
      </c>
      <c r="E6" s="5">
        <f t="shared" si="0"/>
        <v>0</v>
      </c>
    </row>
    <row r="7" spans="1:5" x14ac:dyDescent="0.4">
      <c r="A7" s="10">
        <v>68000324</v>
      </c>
      <c r="B7" s="5" t="str">
        <f>VLOOKUP(A7,'表1-1 备货配置BOM'!$C$3:$D$55,2,0)</f>
        <v>A924推理典配BIOS/BMC固件包</v>
      </c>
      <c r="C7" s="5">
        <f>VLOOKUP(A7,'表1-2 备货物料汇总'!$A$4:$B$36,2,0)</f>
        <v>45</v>
      </c>
      <c r="D7" s="5">
        <f>VLOOKUP(A7,'表2-4 销售物料汇总'!$A$4:$B$43,2,0)</f>
        <v>45</v>
      </c>
      <c r="E7" s="5">
        <f t="shared" si="0"/>
        <v>0</v>
      </c>
    </row>
    <row r="8" spans="1:5" x14ac:dyDescent="0.4">
      <c r="A8" s="10">
        <v>68000338</v>
      </c>
      <c r="B8" s="5" t="str">
        <f>VLOOKUP(A8,'表2-3 产品BOM'!$F$3:$G$115,2,0)</f>
        <v>S机箱-12*3.5SATA/SAS-EXP R522散件</v>
      </c>
      <c r="C8" s="5">
        <v>0</v>
      </c>
      <c r="D8" s="5">
        <f>VLOOKUP(A8,'表2-4 销售物料汇总'!$A$4:$B$43,2,0)</f>
        <v>628</v>
      </c>
      <c r="E8" s="5">
        <f t="shared" si="0"/>
        <v>-628</v>
      </c>
    </row>
    <row r="9" spans="1:5" x14ac:dyDescent="0.4">
      <c r="A9" s="10">
        <v>69001312</v>
      </c>
      <c r="B9" s="5" t="str">
        <f>VLOOKUP(A9,'表1-1 备货配置BOM'!$C$3:$D$55,2,0)</f>
        <v>KunTai R722 服务器标准标签包装</v>
      </c>
      <c r="C9" s="5">
        <f>VLOOKUP(A9,'表1-2 备货物料汇总'!$A$4:$B$36,2,0)</f>
        <v>628</v>
      </c>
      <c r="D9" s="5">
        <f>VLOOKUP(A9,'表2-4 销售物料汇总'!$A$4:$B$43,2,0)</f>
        <v>628</v>
      </c>
      <c r="E9" s="5">
        <f t="shared" si="0"/>
        <v>0</v>
      </c>
    </row>
    <row r="10" spans="1:5" x14ac:dyDescent="0.4">
      <c r="A10" s="10">
        <v>69001318</v>
      </c>
      <c r="B10" s="5" t="str">
        <f>VLOOKUP(A10,'表1-1 备货配置BOM'!$C$3:$D$55,2,0)</f>
        <v>KunTai A924 服务器标准标签包装</v>
      </c>
      <c r="C10" s="5">
        <f>VLOOKUP(A10,'表1-2 备货物料汇总'!$A$4:$B$36,2,0)</f>
        <v>45</v>
      </c>
      <c r="D10" s="5">
        <f>VLOOKUP(A10,'表2-4 销售物料汇总'!$A$4:$B$43,2,0)</f>
        <v>45</v>
      </c>
      <c r="E10" s="5">
        <f t="shared" si="0"/>
        <v>0</v>
      </c>
    </row>
    <row r="11" spans="1:5" x14ac:dyDescent="0.4">
      <c r="A11" s="10">
        <v>80008592</v>
      </c>
      <c r="B11" s="5" t="str">
        <f>VLOOKUP(A11,'表1-1 备货配置BOM'!$C$3:$D$55,2,0)</f>
        <v>鲲泰服务器基础硬件安装服务-2U</v>
      </c>
      <c r="C11" s="5">
        <f>VLOOKUP(A11,'表1-2 备货物料汇总'!$A$4:$B$36,2,0)</f>
        <v>628</v>
      </c>
      <c r="D11" s="5">
        <v>0</v>
      </c>
      <c r="E11" s="5">
        <f t="shared" si="0"/>
        <v>628</v>
      </c>
    </row>
    <row r="12" spans="1:5" x14ac:dyDescent="0.4">
      <c r="A12" s="10">
        <v>80008624</v>
      </c>
      <c r="B12" s="5" t="str">
        <f>VLOOKUP(A12,'表1-1 备货配置BOM'!$C$3:$D$55,2,0)</f>
        <v>鲲泰服务器维保服务：金牌+服务包-2U-5年,7*24*4H</v>
      </c>
      <c r="C12" s="5">
        <f>VLOOKUP(A12,'表1-2 备货物料汇总'!$A$4:$B$36,2,0)</f>
        <v>628</v>
      </c>
      <c r="D12" s="5">
        <v>0</v>
      </c>
      <c r="E12" s="5">
        <f t="shared" si="0"/>
        <v>628</v>
      </c>
    </row>
    <row r="13" spans="1:5" x14ac:dyDescent="0.4">
      <c r="A13" s="10">
        <v>80008653</v>
      </c>
      <c r="B13" s="5" t="str">
        <f>VLOOKUP(A13,'表1-1 备货配置BOM'!$C$3:$D$55,2,0)</f>
        <v>鲲泰服务器硬盘介质保留-2U-5年</v>
      </c>
      <c r="C13" s="5">
        <f>VLOOKUP(A13,'表1-2 备货物料汇总'!$A$4:$B$36,2,0)</f>
        <v>628</v>
      </c>
      <c r="D13" s="5">
        <v>0</v>
      </c>
      <c r="E13" s="5">
        <f t="shared" si="0"/>
        <v>628</v>
      </c>
    </row>
    <row r="14" spans="1:5" x14ac:dyDescent="0.4">
      <c r="A14" s="10">
        <v>302000147</v>
      </c>
      <c r="B14" s="5" t="str">
        <f>VLOOKUP(A14,'表1-1 备货配置BOM'!$C$3:$D$55,2,0)</f>
        <v>3*16X SLOT (PCIE X8) Riser1&amp;2 模组</v>
      </c>
      <c r="C14" s="5">
        <f>VLOOKUP(A14,'表1-2 备货物料汇总'!$A$4:$B$36,2,0)</f>
        <v>1256</v>
      </c>
      <c r="D14" s="5">
        <v>0</v>
      </c>
      <c r="E14" s="5">
        <f t="shared" si="0"/>
        <v>1256</v>
      </c>
    </row>
    <row r="15" spans="1:5" x14ac:dyDescent="0.4">
      <c r="A15" s="10">
        <v>302000187</v>
      </c>
      <c r="B15" s="5" t="str">
        <f>VLOOKUP(A15,'表1-1 备货配置BOM'!$C$3:$D$55,2,0)</f>
        <v>2U静态滑轨套件</v>
      </c>
      <c r="C15" s="5">
        <f>VLOOKUP(A15,'表1-2 备货物料汇总'!$A$4:$B$36,2,0)</f>
        <v>628</v>
      </c>
      <c r="D15" s="5">
        <f>VLOOKUP(A15,'表2-4 销售物料汇总'!$A$4:$B$43,2,0)</f>
        <v>628</v>
      </c>
      <c r="E15" s="5">
        <f t="shared" si="0"/>
        <v>0</v>
      </c>
    </row>
    <row r="16" spans="1:5" x14ac:dyDescent="0.4">
      <c r="A16" s="10">
        <v>302000248</v>
      </c>
      <c r="B16" s="5" t="str">
        <f>VLOOKUP(A16,'表1-1 备货配置BOM'!$C$3:$D$55,2,0)</f>
        <v>S电源线PDU国标-C14直公-C13直母-250V10A-1.5m黑-交流</v>
      </c>
      <c r="C16" s="5">
        <f>VLOOKUP(A16,'表1-2 备货物料汇总'!$A$4:$B$36,2,0)</f>
        <v>1256</v>
      </c>
      <c r="D16" s="5">
        <f>VLOOKUP(A16,'表2-4 销售物料汇总'!$A$4:$B$43,2,0)</f>
        <v>1256</v>
      </c>
      <c r="E16" s="5">
        <f t="shared" si="0"/>
        <v>0</v>
      </c>
    </row>
    <row r="17" spans="1:5" x14ac:dyDescent="0.4">
      <c r="A17" s="10">
        <v>302000251</v>
      </c>
      <c r="B17" s="5" t="str">
        <f>VLOOKUP(A17,'表1-1 备货配置BOM'!$C$3:$D$55,2,0)</f>
        <v>高速电缆 Mini SAS HCable-0.85m</v>
      </c>
      <c r="C17" s="5">
        <f>VLOOKUP(A17,'表1-2 备货物料汇总'!$A$4:$B$36,2,0)</f>
        <v>1256</v>
      </c>
      <c r="D17" s="5">
        <f>VLOOKUP(A17,'表2-4 销售物料汇总'!$A$4:$B$43,2,0)</f>
        <v>1256</v>
      </c>
      <c r="E17" s="5">
        <f t="shared" si="0"/>
        <v>0</v>
      </c>
    </row>
    <row r="18" spans="1:5" x14ac:dyDescent="0.4">
      <c r="A18" s="10">
        <v>302000271</v>
      </c>
      <c r="B18" s="5" t="str">
        <f>VLOOKUP(A18,'表2-3 产品BOM'!$F$3:$G$115,2,0)</f>
        <v>3.5英寸假硬盘托架</v>
      </c>
      <c r="C18" s="5">
        <v>0</v>
      </c>
      <c r="D18" s="5">
        <f>VLOOKUP(A18,'表2-4 销售物料汇总'!$A$4:$B$43,2,0)</f>
        <v>2512</v>
      </c>
      <c r="E18" s="5">
        <f t="shared" si="0"/>
        <v>-2512</v>
      </c>
    </row>
    <row r="19" spans="1:5" x14ac:dyDescent="0.4">
      <c r="A19" s="10">
        <v>302000315</v>
      </c>
      <c r="B19" s="5" t="str">
        <f>VLOOKUP(A19,'表2-3 产品BOM'!$F$3:$G$115,2,0)</f>
        <v>Raid卡电池盒-21203767-001_draen.prt</v>
      </c>
      <c r="C19" s="5">
        <v>0</v>
      </c>
      <c r="D19" s="5">
        <f>VLOOKUP(A19,'表2-4 销售物料汇总'!$A$4:$B$43,2,0)</f>
        <v>673</v>
      </c>
      <c r="E19" s="5">
        <f t="shared" si="0"/>
        <v>-673</v>
      </c>
    </row>
    <row r="20" spans="1:5" x14ac:dyDescent="0.4">
      <c r="A20" s="10">
        <v>302000331</v>
      </c>
      <c r="B20" s="5" t="str">
        <f>VLOOKUP(A20,'表2-3 产品BOM'!$F$3:$G$115,2,0)</f>
        <v>PCIe全高挡片-钣金-21122419</v>
      </c>
      <c r="C20" s="5">
        <v>0</v>
      </c>
      <c r="D20" s="5">
        <f>VLOOKUP(A20,'表2-4 销售物料汇总'!$A$4:$B$43,2,0)</f>
        <v>1884</v>
      </c>
      <c r="E20" s="5">
        <f t="shared" si="0"/>
        <v>-1884</v>
      </c>
    </row>
    <row r="21" spans="1:5" x14ac:dyDescent="0.4">
      <c r="A21" s="10">
        <v>302000631</v>
      </c>
      <c r="B21" s="5" t="str">
        <f>VLOOKUP(A21,'表2-3 产品BOM'!$F$3:$G$115,2,0)</f>
        <v>S硬盘1.2T-2.5SAS-12G10K-128M-XJ V1.0</v>
      </c>
      <c r="C21" s="5">
        <v>0</v>
      </c>
      <c r="D21" s="5">
        <f>VLOOKUP(A21,'表2-4 销售物料汇总'!$A$4:$B$43,2,0)</f>
        <v>1256</v>
      </c>
      <c r="E21" s="5">
        <f t="shared" si="0"/>
        <v>-1256</v>
      </c>
    </row>
    <row r="22" spans="1:5" x14ac:dyDescent="0.4">
      <c r="A22" s="10">
        <v>302000788</v>
      </c>
      <c r="B22" s="5" t="str">
        <f>VLOOKUP(A22,'表1-1 备货配置BOM'!$C$3:$D$55,2,0)</f>
        <v>网卡 MCX4121A-ACUT 25G双口SFP28</v>
      </c>
      <c r="C22" s="5">
        <f>VLOOKUP(A22,'表1-2 备货物料汇总'!$A$4:$B$36,2,0)</f>
        <v>1256</v>
      </c>
      <c r="D22" s="5">
        <f>VLOOKUP(A22,'表2-4 销售物料汇总'!$A$4:$B$43,2,0)</f>
        <v>1256</v>
      </c>
      <c r="E22" s="5">
        <f t="shared" si="0"/>
        <v>0</v>
      </c>
    </row>
    <row r="23" spans="1:5" x14ac:dyDescent="0.4">
      <c r="A23" s="10">
        <v>302000867</v>
      </c>
      <c r="B23" s="5" t="str">
        <f>VLOOKUP(A23,'表2-3 产品BOM'!$F$3:$G$115,2,0)</f>
        <v>M.2 螺钉 M3*4 渡彩锌</v>
      </c>
      <c r="C23" s="5">
        <v>0</v>
      </c>
      <c r="D23" s="5">
        <f>VLOOKUP(A23,'表2-4 销售物料汇总'!$A$4:$B$43,2,0)</f>
        <v>90</v>
      </c>
      <c r="E23" s="5">
        <f t="shared" si="0"/>
        <v>-90</v>
      </c>
    </row>
    <row r="24" spans="1:5" x14ac:dyDescent="0.4">
      <c r="A24" s="10">
        <v>302001040</v>
      </c>
      <c r="B24" s="5" t="str">
        <f>VLOOKUP(A24,'表1-1 备货配置BOM'!$C$3:$D$55,2,0)</f>
        <v>S硬盘1.2T-2.5SAS-12G10K-128M-DZ V1.1</v>
      </c>
      <c r="C24" s="5">
        <f>VLOOKUP(A24,'表1-2 备货物料汇总'!$A$4:$B$36,2,0)</f>
        <v>1256</v>
      </c>
      <c r="D24" s="5">
        <v>0</v>
      </c>
      <c r="E24" s="5">
        <f t="shared" si="0"/>
        <v>1256</v>
      </c>
    </row>
    <row r="25" spans="1:5" x14ac:dyDescent="0.4">
      <c r="A25" s="10">
        <v>302001164</v>
      </c>
      <c r="B25" s="5" t="str">
        <f>VLOOKUP(A25,'表2-3 产品BOM'!$F$3:$G$115,2,0)</f>
        <v>RAID标卡9460-8i-2G-PCIe3.0x8 Cache</v>
      </c>
      <c r="C25" s="5">
        <v>0</v>
      </c>
      <c r="D25" s="5">
        <f>VLOOKUP(A25,'表2-4 销售物料汇总'!$A$4:$B$43,2,0)</f>
        <v>628</v>
      </c>
      <c r="E25" s="5">
        <f t="shared" si="0"/>
        <v>-628</v>
      </c>
    </row>
    <row r="26" spans="1:5" x14ac:dyDescent="0.4">
      <c r="A26" s="10">
        <v>302001332</v>
      </c>
      <c r="B26" s="5" t="str">
        <f>VLOOKUP(A26,'表1-1 备货配置BOM'!$C$3:$D$55,2,0)</f>
        <v>RAID标卡-2GB 9460-8i-PCIe</v>
      </c>
      <c r="C26" s="5">
        <f>VLOOKUP(A26,'表1-2 备货物料汇总'!$A$4:$B$36,2,0)</f>
        <v>628</v>
      </c>
      <c r="D26" s="5">
        <v>0</v>
      </c>
      <c r="E26" s="5">
        <f t="shared" si="0"/>
        <v>628</v>
      </c>
    </row>
    <row r="27" spans="1:5" x14ac:dyDescent="0.4">
      <c r="A27" s="10">
        <v>302001349</v>
      </c>
      <c r="B27" s="5" t="str">
        <f>VLOOKUP(A27,'表2-3 产品BOM'!$F$3:$G$115,2,0)</f>
        <v>SSD ES3521AV6-960G-SATA-6G-2.5读取HW侧孔1.0</v>
      </c>
      <c r="C27" s="5">
        <v>0</v>
      </c>
      <c r="D27" s="5">
        <f>VLOOKUP(A27,'表2-4 销售物料汇总'!$A$4:$B$43,2,0)</f>
        <v>90</v>
      </c>
      <c r="E27" s="5">
        <f t="shared" si="0"/>
        <v>-90</v>
      </c>
    </row>
    <row r="28" spans="1:5" x14ac:dyDescent="0.4">
      <c r="A28" s="10">
        <v>302001354</v>
      </c>
      <c r="B28" s="5" t="str">
        <f>VLOOKUP(A28,'表1-1 备货配置BOM'!$C$3:$D$55,2,0)</f>
        <v>SSD ES3521AV6-1.92T-SATA-6G-2.5读取HW侧孔1.0</v>
      </c>
      <c r="C28" s="5">
        <f>VLOOKUP(A28,'表1-2 备货物料汇总'!$A$4:$B$36,2,0)</f>
        <v>3858</v>
      </c>
      <c r="D28" s="5">
        <v>0</v>
      </c>
      <c r="E28" s="5">
        <f t="shared" si="0"/>
        <v>3858</v>
      </c>
    </row>
    <row r="29" spans="1:5" x14ac:dyDescent="0.4">
      <c r="A29" s="10">
        <v>302001363</v>
      </c>
      <c r="B29" s="5" t="str">
        <f>VLOOKUP(A29,'表1-1 备货配置BOM'!$C$3:$D$55,2,0)</f>
        <v>S主板S920S00-2*5220(32C@2.6)-AJ-VE-1711</v>
      </c>
      <c r="C29" s="5">
        <f>VLOOKUP(A29,'表1-2 备货物料汇总'!$A$4:$B$36,2,0)</f>
        <v>628</v>
      </c>
      <c r="D29" s="5">
        <f>VLOOKUP(A29,'表2-4 销售物料汇总'!$A$4:$B$43,2,0)</f>
        <v>628</v>
      </c>
      <c r="E29" s="5">
        <f t="shared" si="0"/>
        <v>0</v>
      </c>
    </row>
    <row r="30" spans="1:5" x14ac:dyDescent="0.4">
      <c r="A30" s="10">
        <v>302001644</v>
      </c>
      <c r="B30" s="5" t="str">
        <f>VLOOKUP(A30,'表1-1 备货配置BOM'!$C$3:$D$55,2,0)</f>
        <v>S内存DDR4-32G-3200-2Rx4-RD HLS V1.0</v>
      </c>
      <c r="C30" s="5">
        <f>VLOOKUP(A30,'表1-2 备货物料汇总'!$A$4:$B$36,2,0)</f>
        <v>8976</v>
      </c>
      <c r="D30" s="5">
        <v>0</v>
      </c>
      <c r="E30" s="5">
        <f t="shared" si="0"/>
        <v>8976</v>
      </c>
    </row>
    <row r="31" spans="1:5" x14ac:dyDescent="0.4">
      <c r="A31" s="10">
        <v>302001655</v>
      </c>
      <c r="B31" s="5" t="str">
        <f>VLOOKUP(A31,'表1-1 备货配置BOM'!$C$3:$D$55,2,0)</f>
        <v>3508/3516 RAID卡超级电容</v>
      </c>
      <c r="C31" s="5">
        <f>VLOOKUP(A31,'表1-2 备货物料汇总'!$A$4:$B$36,2,0)</f>
        <v>673</v>
      </c>
      <c r="D31" s="5">
        <v>0</v>
      </c>
      <c r="E31" s="5">
        <f t="shared" si="0"/>
        <v>673</v>
      </c>
    </row>
    <row r="32" spans="1:5" x14ac:dyDescent="0.4">
      <c r="A32" s="10">
        <v>302001844</v>
      </c>
      <c r="B32" s="5" t="str">
        <f>VLOOKUP(A32,'表1-1 备货配置BOM'!$C$3:$D$55,2,0)</f>
        <v>SAS线-RAID卡专用1分2 mini SAS-1.0m&amp;0.9m</v>
      </c>
      <c r="C32" s="5">
        <f>VLOOKUP(A32,'表1-2 备货物料汇总'!$A$4:$B$36,2,0)</f>
        <v>45</v>
      </c>
      <c r="D32" s="5">
        <f>VLOOKUP(A32,'表2-4 销售物料汇总'!$A$4:$B$43,2,0)</f>
        <v>45</v>
      </c>
      <c r="E32" s="5">
        <f t="shared" si="0"/>
        <v>0</v>
      </c>
    </row>
    <row r="33" spans="1:5" x14ac:dyDescent="0.4">
      <c r="A33" s="10">
        <v>302001873</v>
      </c>
      <c r="B33" s="5" t="str">
        <f>VLOOKUP(A33,'表1-1 备货配置BOM'!$C$3:$D$55,2,0)</f>
        <v>TM210板载灵活网卡4*1GE-RJ45</v>
      </c>
      <c r="C33" s="5">
        <f>VLOOKUP(A33,'表1-2 备货物料汇总'!$A$4:$B$36,2,0)</f>
        <v>628</v>
      </c>
      <c r="D33" s="5">
        <f>VLOOKUP(A33,'表2-4 销售物料汇总'!$A$4:$B$43,2,0)</f>
        <v>628</v>
      </c>
      <c r="E33" s="5">
        <f t="shared" si="0"/>
        <v>0</v>
      </c>
    </row>
    <row r="34" spans="1:5" x14ac:dyDescent="0.4">
      <c r="A34" s="10">
        <v>302002092</v>
      </c>
      <c r="B34" s="5" t="str">
        <f>VLOOKUP(A34,'表1-1 备货配置BOM'!$C$3:$D$55,2,0)</f>
        <v>SSD ES3521AV6-960G-SATA-2.5读取HW+2.5托 侧孔</v>
      </c>
      <c r="C34" s="5">
        <f>VLOOKUP(A34,'表1-2 备货物料汇总'!$A$4:$B$36,2,0)</f>
        <v>90</v>
      </c>
      <c r="D34" s="5">
        <v>0</v>
      </c>
      <c r="E34" s="5">
        <f t="shared" si="0"/>
        <v>90</v>
      </c>
    </row>
    <row r="35" spans="1:5" x14ac:dyDescent="0.4">
      <c r="A35" s="10">
        <v>302002612</v>
      </c>
      <c r="B35" s="5" t="str">
        <f>VLOOKUP(A35,'表1-1 备货配置BOM'!$C$3:$D$55,2,0)</f>
        <v>RAID标卡9560-8i-4G PCIe4.0x8 NMP-HW</v>
      </c>
      <c r="C35" s="5">
        <f>VLOOKUP(A35,'表1-2 备货物料汇总'!$A$4:$B$36,2,0)</f>
        <v>45</v>
      </c>
      <c r="D35" s="5">
        <f>VLOOKUP(A35,'表2-4 销售物料汇总'!$A$4:$B$43,2,0)</f>
        <v>45</v>
      </c>
      <c r="E35" s="5">
        <f t="shared" si="0"/>
        <v>0</v>
      </c>
    </row>
    <row r="36" spans="1:5" x14ac:dyDescent="0.4">
      <c r="A36" s="10">
        <v>302003095</v>
      </c>
      <c r="B36" s="5" t="str">
        <f>VLOOKUP(A36,'表1-1 备货配置BOM'!$C$3:$D$55,2,0)</f>
        <v>机箱2U2P-12*3.5EXP-S920S00</v>
      </c>
      <c r="C36" s="5">
        <f>VLOOKUP(A36,'表1-2 备货物料汇总'!$A$4:$B$36,2,0)</f>
        <v>628</v>
      </c>
      <c r="D36" s="5">
        <v>0</v>
      </c>
      <c r="E36" s="5">
        <f t="shared" si="0"/>
        <v>628</v>
      </c>
    </row>
    <row r="37" spans="1:5" x14ac:dyDescent="0.4">
      <c r="A37" s="10">
        <v>302003131</v>
      </c>
      <c r="B37" s="5" t="str">
        <f>VLOOKUP(A37,'表1-1 备货配置BOM'!$C$3:$D$55,2,0)</f>
        <v>光模块-SFP+-10G-多模(850nm,0.3km,LC)-HX</v>
      </c>
      <c r="C37" s="5">
        <f>VLOOKUP(A37,'表1-2 备货物料汇总'!$A$4:$B$36,2,0)</f>
        <v>1346</v>
      </c>
      <c r="D37" s="5">
        <v>0</v>
      </c>
      <c r="E37" s="5">
        <f t="shared" si="0"/>
        <v>1346</v>
      </c>
    </row>
    <row r="38" spans="1:5" x14ac:dyDescent="0.4">
      <c r="A38" s="10">
        <v>302003132</v>
      </c>
      <c r="B38" s="5" t="str">
        <f>VLOOKUP(A38,'表1-1 备货配置BOM'!$C$3:$D$55,2,0)</f>
        <v>光模块-SFP28-25G-多模(850nm,0.1km,LC)-HX</v>
      </c>
      <c r="C38" s="5">
        <f>VLOOKUP(A38,'表1-2 备货物料汇总'!$A$4:$B$36,2,0)</f>
        <v>1346</v>
      </c>
      <c r="D38" s="5">
        <v>0</v>
      </c>
      <c r="E38" s="5">
        <f t="shared" si="0"/>
        <v>1346</v>
      </c>
    </row>
    <row r="39" spans="1:5" x14ac:dyDescent="0.4">
      <c r="A39" s="10">
        <v>302003171</v>
      </c>
      <c r="B39" s="5" t="str">
        <f>VLOOKUP(A39,'表2-3 产品BOM'!$F$3:$G$115,2,0)</f>
        <v>光模块-25G-SFP28-多模-850nm-0.3km-LC-TRC</v>
      </c>
      <c r="C39" s="5">
        <v>0</v>
      </c>
      <c r="D39" s="5">
        <f>VLOOKUP(A39,'表2-4 销售物料汇总'!$A$4:$B$43,2,0)</f>
        <v>1346</v>
      </c>
      <c r="E39" s="5">
        <f t="shared" si="0"/>
        <v>-1346</v>
      </c>
    </row>
    <row r="40" spans="1:5" x14ac:dyDescent="0.4">
      <c r="A40" s="10">
        <v>302003302</v>
      </c>
      <c r="B40" s="5" t="str">
        <f>VLOOKUP(A40,'表1-1 备货配置BOM'!$C$3:$D$55,2,0)</f>
        <v>网卡HP382 25G双口SFP28(Mellanox CX-5) Lx无光模块-全高</v>
      </c>
      <c r="C40" s="5">
        <f>VLOOKUP(A40,'表1-2 备货物料汇总'!$A$4:$B$36,2,0)</f>
        <v>90</v>
      </c>
      <c r="D40" s="5">
        <v>0</v>
      </c>
      <c r="E40" s="5">
        <f t="shared" si="0"/>
        <v>90</v>
      </c>
    </row>
    <row r="41" spans="1:5" x14ac:dyDescent="0.4">
      <c r="A41" s="10">
        <v>302003521</v>
      </c>
      <c r="B41" s="5" t="str">
        <f>VLOOKUP(A41,'表2-3 产品BOM'!$F$3:$G$115,2,0)</f>
        <v>网卡HP382 25G双口SFP28(CX-5) Lx无光模块-全高</v>
      </c>
      <c r="C41" s="5">
        <v>0</v>
      </c>
      <c r="D41" s="5">
        <f>VLOOKUP(A41,'表2-4 销售物料汇总'!$A$4:$B$43,2,0)</f>
        <v>45</v>
      </c>
      <c r="E41" s="5">
        <f t="shared" si="0"/>
        <v>-45</v>
      </c>
    </row>
    <row r="42" spans="1:5" x14ac:dyDescent="0.4">
      <c r="A42" s="10">
        <v>302003536</v>
      </c>
      <c r="B42" s="5" t="str">
        <f>VLOOKUP(A42,'表2-3 产品BOM'!$F$3:$G$115,2,0)</f>
        <v>SSD ES3521AV6-1.92T-SATA-6G-2.5读取HW 侧底孔</v>
      </c>
      <c r="C42" s="5">
        <v>0</v>
      </c>
      <c r="D42" s="5">
        <f>VLOOKUP(A42,'表2-4 销售物料汇总'!$A$4:$B$43,2,0)</f>
        <v>1272</v>
      </c>
      <c r="E42" s="5">
        <f t="shared" si="0"/>
        <v>-1272</v>
      </c>
    </row>
    <row r="43" spans="1:5" x14ac:dyDescent="0.4">
      <c r="A43" s="10">
        <v>302003586</v>
      </c>
      <c r="B43" s="5" t="str">
        <f>VLOOKUP(A43,'表2-3 产品BOM'!$F$3:$G$115,2,0)</f>
        <v>3508/3516 RAID卡超级电容(不含电池盒)</v>
      </c>
      <c r="C43" s="5">
        <v>0</v>
      </c>
      <c r="D43" s="5">
        <f>VLOOKUP(A43,'表2-4 销售物料汇总'!$A$4:$B$43,2,0)</f>
        <v>673</v>
      </c>
      <c r="E43" s="5">
        <f t="shared" si="0"/>
        <v>-673</v>
      </c>
    </row>
    <row r="44" spans="1:5" x14ac:dyDescent="0.4">
      <c r="A44" s="10">
        <v>302003642</v>
      </c>
      <c r="B44" s="5" t="str">
        <f>VLOOKUP(A44,'表2-3 产品BOM'!$F$3:$G$115,2,0)</f>
        <v>SSD ES3521AV6-1.92T-SATA-2.5读取HW 侧底孔1.4</v>
      </c>
      <c r="C44" s="5">
        <v>0</v>
      </c>
      <c r="D44" s="5">
        <f>VLOOKUP(A44,'表2-4 销售物料汇总'!$A$4:$B$43,2,0)</f>
        <v>2010</v>
      </c>
      <c r="E44" s="5">
        <f t="shared" si="0"/>
        <v>-2010</v>
      </c>
    </row>
    <row r="45" spans="1:5" x14ac:dyDescent="0.4">
      <c r="A45" s="10">
        <v>302003649</v>
      </c>
      <c r="B45" s="5" t="str">
        <f>VLOOKUP(A45,'表2-3 产品BOM'!$F$3:$G$115,2,0)</f>
        <v>光模块-10G-SFP28-多模-850nm-0.3km-LC-COB-TRC</v>
      </c>
      <c r="C45" s="5">
        <v>0</v>
      </c>
      <c r="D45" s="5">
        <f>VLOOKUP(A45,'表2-4 销售物料汇总'!$A$4:$B$43,2,0)</f>
        <v>1346</v>
      </c>
      <c r="E45" s="5">
        <f t="shared" si="0"/>
        <v>-1346</v>
      </c>
    </row>
    <row r="46" spans="1:5" x14ac:dyDescent="0.4">
      <c r="A46" s="10">
        <v>302003810</v>
      </c>
      <c r="B46" s="5" t="str">
        <f>VLOOKUP(A46,'表2-3 产品BOM'!$F$3:$G$115,2,0)</f>
        <v>网卡HP382 2*25G-SFP28-PCIE 3.0 x8-无挡片</v>
      </c>
      <c r="C46" s="5">
        <v>0</v>
      </c>
      <c r="D46" s="5">
        <f>VLOOKUP(A46,'表2-4 销售物料汇总'!$A$4:$B$43,2,0)</f>
        <v>45</v>
      </c>
      <c r="E46" s="5">
        <f t="shared" si="0"/>
        <v>-45</v>
      </c>
    </row>
    <row r="47" spans="1:5" x14ac:dyDescent="0.4">
      <c r="A47" s="10">
        <v>302003912</v>
      </c>
      <c r="B47" s="5" t="str">
        <f>VLOOKUP(A47,'表1-1 备货配置BOM'!$C$3:$D$55,2,0)</f>
        <v>灵活网卡2*200G接口卡-QSFP56</v>
      </c>
      <c r="C47" s="5">
        <f>VLOOKUP(A47,'表1-2 备货物料汇总'!$A$4:$B$36,2,0)</f>
        <v>180</v>
      </c>
      <c r="D47" s="5">
        <v>0</v>
      </c>
      <c r="E47" s="5">
        <f t="shared" si="0"/>
        <v>180</v>
      </c>
    </row>
    <row r="48" spans="1:5" x14ac:dyDescent="0.4">
      <c r="A48" s="10">
        <v>302003941</v>
      </c>
      <c r="B48" s="5" t="str">
        <f>VLOOKUP(A48,'表2-3 产品BOM'!$F$3:$G$115,2,0)</f>
        <v>SF216D-H板载灵活网卡-200GE-2端口-QSFP56 V2.0</v>
      </c>
      <c r="C48" s="5">
        <v>0</v>
      </c>
      <c r="D48" s="5">
        <f>VLOOKUP(A48,'表2-4 销售物料汇总'!$A$4:$B$43,2,0)</f>
        <v>180</v>
      </c>
      <c r="E48" s="5">
        <f t="shared" si="0"/>
        <v>-180</v>
      </c>
    </row>
    <row r="49" spans="1:5" x14ac:dyDescent="0.4">
      <c r="A49" s="10">
        <v>302003987</v>
      </c>
      <c r="B49" s="5" t="str">
        <f>VLOOKUP(A49,'表1-1 备货配置BOM'!$C$3:$D$55,2,0)</f>
        <v>服务器PAC900S12-B3 900W 3.0 版本交流电源</v>
      </c>
      <c r="C49" s="5">
        <f>VLOOKUP(A49,'表1-2 备货物料汇总'!$A$4:$B$36,2,0)</f>
        <v>1256</v>
      </c>
      <c r="D49" s="5">
        <f>VLOOKUP(A49,'表2-4 销售物料汇总'!$A$4:$B$43,2,0)</f>
        <v>1256</v>
      </c>
      <c r="E49" s="5">
        <f t="shared" si="0"/>
        <v>0</v>
      </c>
    </row>
    <row r="50" spans="1:5" x14ac:dyDescent="0.4">
      <c r="A50" s="10">
        <v>302004092</v>
      </c>
      <c r="B50" s="5" t="str">
        <f>VLOOKUP(A50,'表2-3 产品BOM'!$F$3:$G$115,2,0)</f>
        <v>382半高网卡挡片</v>
      </c>
      <c r="C50" s="5">
        <v>0</v>
      </c>
      <c r="D50" s="5">
        <f>VLOOKUP(A50,'表2-4 销售物料汇总'!$A$4:$B$43,2,0)</f>
        <v>45</v>
      </c>
      <c r="E50" s="5">
        <f t="shared" si="0"/>
        <v>-45</v>
      </c>
    </row>
    <row r="51" spans="1:5" x14ac:dyDescent="0.4">
      <c r="A51" s="10">
        <v>302004159</v>
      </c>
      <c r="B51" s="5" t="str">
        <f>VLOOKUP(A51,'表2-3 产品BOM'!$F$3:$G$115,2,0)</f>
        <v>光模块-200G-QSFP56-多模-850nm-0.1km-NDD</v>
      </c>
      <c r="C51" s="5">
        <v>0</v>
      </c>
      <c r="D51" s="5">
        <f>VLOOKUP(A51,'表2-4 销售物料汇总'!$A$4:$B$43,2,0)</f>
        <v>288</v>
      </c>
      <c r="E51" s="5">
        <f t="shared" si="0"/>
        <v>-288</v>
      </c>
    </row>
    <row r="52" spans="1:5" x14ac:dyDescent="0.4">
      <c r="A52" s="10">
        <v>302004227</v>
      </c>
      <c r="B52" s="5" t="str">
        <f>VLOOKUP(A52,'表2-3 产品BOM'!$F$3:$G$115,2,0)</f>
        <v>SSD ES3521A V7-1.92T-SATA-2.5-读取 HW V1.0</v>
      </c>
      <c r="C52" s="5">
        <v>0</v>
      </c>
      <c r="D52" s="5">
        <f>VLOOKUP(A52,'表2-4 销售物料汇总'!$A$4:$B$43,2,0)</f>
        <v>576</v>
      </c>
      <c r="E52" s="5">
        <f t="shared" si="0"/>
        <v>-576</v>
      </c>
    </row>
    <row r="53" spans="1:5" x14ac:dyDescent="0.4">
      <c r="A53" s="10">
        <v>302004291</v>
      </c>
      <c r="B53" s="5" t="str">
        <f>VLOOKUP(A53,'表1-1 备货配置BOM'!$C$3:$D$55,2,0)</f>
        <v>光模块-200G-QSFP56-多模-850nm-300m-TRC</v>
      </c>
      <c r="C53" s="5">
        <f>VLOOKUP(A53,'表1-2 备货物料汇总'!$A$4:$B$36,2,0)</f>
        <v>360</v>
      </c>
      <c r="D53" s="5">
        <f>VLOOKUP(A53,'表2-4 销售物料汇总'!$A$4:$B$43,2,0)</f>
        <v>72</v>
      </c>
      <c r="E53" s="5">
        <f t="shared" si="0"/>
        <v>288</v>
      </c>
    </row>
    <row r="54" spans="1:5" x14ac:dyDescent="0.4">
      <c r="A54" s="10">
        <v>302004338</v>
      </c>
      <c r="B54" s="5" t="str">
        <f>VLOOKUP(A54,'表2-3 产品BOM'!$F$3:$G$115,2,0)</f>
        <v>S内存DDR4-32G-3200-2Rx8-HLS</v>
      </c>
      <c r="C54" s="5">
        <v>0</v>
      </c>
      <c r="D54" s="5">
        <f>VLOOKUP(A54,'表2-4 销售物料汇总'!$A$4:$B$43,2,0)</f>
        <v>8976</v>
      </c>
      <c r="E54" s="5">
        <f t="shared" si="0"/>
        <v>-8976</v>
      </c>
    </row>
    <row r="55" spans="1:5" x14ac:dyDescent="0.4">
      <c r="A55" s="10">
        <v>304000492</v>
      </c>
      <c r="B55" s="5" t="str">
        <f>VLOOKUP(A55,'表1-1 备货配置BOM'!$C$3:$D$55,2,0)</f>
        <v>A924A2典配L6-4*920 2.6G 8*910_4_1 2Nvme 64G</v>
      </c>
      <c r="C55" s="5">
        <f>VLOOKUP(A55,'表1-2 备货物料汇总'!$A$4:$B$36,2,0)</f>
        <v>45</v>
      </c>
      <c r="D55" s="5">
        <f>VLOOKUP(A55,'表2-4 销售物料汇总'!$A$4:$B$43,2,0)</f>
        <v>45</v>
      </c>
      <c r="E55" s="5">
        <f t="shared" si="0"/>
        <v>0</v>
      </c>
    </row>
    <row r="56" spans="1:5" x14ac:dyDescent="0.4">
      <c r="A56" s="10">
        <v>313000892</v>
      </c>
      <c r="B56" s="5" t="str">
        <f>VLOOKUP(A56,'表2-3 产品BOM'!$F$3:$G$115,2,0)</f>
        <v>移动定制-raid1</v>
      </c>
      <c r="C56" s="5">
        <v>0</v>
      </c>
      <c r="D56" s="5">
        <f>VLOOKUP(A56,'表2-4 销售物料汇总'!$A$4:$B$43,2,0)</f>
        <v>628</v>
      </c>
      <c r="E56" s="5">
        <f t="shared" si="0"/>
        <v>-628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说明</vt:lpstr>
      <vt:lpstr>表1-1 备货配置BOM</vt:lpstr>
      <vt:lpstr>表1-2 备货物料汇总</vt:lpstr>
      <vt:lpstr>表2-1 销售订单明细</vt:lpstr>
      <vt:lpstr>表2-2 销售订单明细物料汇总</vt:lpstr>
      <vt:lpstr>表2-3 产品BOM</vt:lpstr>
      <vt:lpstr>表2-4 销售物料汇总</vt:lpstr>
      <vt:lpstr>表3-1 备货-销售差异汇总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德天杜</dc:creator>
  <cp:lastModifiedBy>user</cp:lastModifiedBy>
  <dcterms:created xsi:type="dcterms:W3CDTF">2015-06-05T18:19:34Z</dcterms:created>
  <dcterms:modified xsi:type="dcterms:W3CDTF">2026-02-05T01:23:59Z</dcterms:modified>
</cp:coreProperties>
</file>
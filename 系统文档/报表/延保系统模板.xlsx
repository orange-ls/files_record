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系统开发需求\延保系统\"/>
    </mc:Choice>
  </mc:AlternateContent>
  <xr:revisionPtr revIDLastSave="0" documentId="13_ncr:1_{8F473E24-DFA3-4DF5-9C72-978EB4D09F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核算模型" sheetId="2" r:id="rId1"/>
    <sheet name="基础数据参数1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</calcChain>
</file>

<file path=xl/sharedStrings.xml><?xml version="1.0" encoding="utf-8"?>
<sst xmlns="http://schemas.openxmlformats.org/spreadsheetml/2006/main" count="194" uniqueCount="148">
  <si>
    <t>部件</t>
  </si>
  <si>
    <t>主板</t>
  </si>
  <si>
    <t>机箱(硬盘背板)</t>
  </si>
  <si>
    <t>内存</t>
  </si>
  <si>
    <t>HDD</t>
  </si>
  <si>
    <t>电源</t>
  </si>
  <si>
    <t>RAID卡</t>
  </si>
  <si>
    <t>超级电容</t>
  </si>
  <si>
    <t>Riser卡</t>
  </si>
  <si>
    <t>网卡</t>
  </si>
  <si>
    <t>灵活网卡</t>
  </si>
  <si>
    <t>光模块</t>
  </si>
  <si>
    <t>AI推理卡</t>
  </si>
  <si>
    <t>其他卡</t>
  </si>
  <si>
    <t>其他部件</t>
  </si>
  <si>
    <t>SSD</t>
    <phoneticPr fontId="2" type="noConversion"/>
  </si>
  <si>
    <t>NPU载板</t>
    <phoneticPr fontId="2" type="noConversion"/>
  </si>
  <si>
    <t>NPU模组</t>
    <phoneticPr fontId="2" type="noConversion"/>
  </si>
  <si>
    <t>提升卡</t>
    <phoneticPr fontId="2" type="noConversion"/>
  </si>
  <si>
    <t>第1-3年不良率</t>
    <phoneticPr fontId="2" type="noConversion"/>
  </si>
  <si>
    <t>第4年不良率</t>
    <phoneticPr fontId="2" type="noConversion"/>
  </si>
  <si>
    <t>第5年不良率</t>
    <phoneticPr fontId="2" type="noConversion"/>
  </si>
  <si>
    <t>可维修比例</t>
    <phoneticPr fontId="2" type="noConversion"/>
  </si>
  <si>
    <t>建议设定为手工输入值</t>
    <phoneticPr fontId="2" type="noConversion"/>
  </si>
  <si>
    <t>一、鲲泰自营项目</t>
    <phoneticPr fontId="2" type="noConversion"/>
  </si>
  <si>
    <t>物料号</t>
  </si>
  <si>
    <t>69料号</t>
  </si>
  <si>
    <t>描述</t>
  </si>
  <si>
    <t>部件名称</t>
  </si>
  <si>
    <t>个数</t>
  </si>
  <si>
    <t>①输入CRM立项编号或项目名称</t>
    <phoneticPr fontId="2" type="noConversion"/>
  </si>
  <si>
    <t>②勾选产品级别如a.1年标准＋ b.1年标准＋含介质保留  c.1年金牌＋d.1年金牌＋含介质保留 e.1年白金＋ f.1年白金＋含介质保留  等····   选项设置到第5年</t>
    <phoneticPr fontId="2" type="noConversion"/>
  </si>
  <si>
    <t>③每1pcs外包库单备件管理费(元/年)</t>
    <phoneticPr fontId="2" type="noConversion"/>
  </si>
  <si>
    <t>④每1pcs外包库单备件仓储费(元/年)</t>
    <phoneticPr fontId="2" type="noConversion"/>
  </si>
  <si>
    <t>⑤备件派件成本</t>
    <phoneticPr fontId="2" type="noConversion"/>
  </si>
  <si>
    <t>⑥故障件回收&amp;故障件返厂维修&amp;故障件补库</t>
    <phoneticPr fontId="2" type="noConversion"/>
  </si>
  <si>
    <t>⑦维修成本占货值比例</t>
    <phoneticPr fontId="2" type="noConversion"/>
  </si>
  <si>
    <t>由①输入例如立项编号后，对接测算系统，自动导出</t>
    <phoneticPr fontId="2" type="noConversion"/>
  </si>
  <si>
    <t>根据物料号，对接不良率系统--基础数据源--69对应302物料管理</t>
    <phoneticPr fontId="2" type="noConversion"/>
  </si>
  <si>
    <t>第4年故障数</t>
    <phoneticPr fontId="2" type="noConversion"/>
  </si>
  <si>
    <t>个数*第4年不良率</t>
    <phoneticPr fontId="2" type="noConversion"/>
  </si>
  <si>
    <t>第5年故障数</t>
    <phoneticPr fontId="2" type="noConversion"/>
  </si>
  <si>
    <t>第6年不良率</t>
    <phoneticPr fontId="2" type="noConversion"/>
  </si>
  <si>
    <t>第6年故障数</t>
    <phoneticPr fontId="2" type="noConversion"/>
  </si>
  <si>
    <t>个数*第5年不良率</t>
    <phoneticPr fontId="2" type="noConversion"/>
  </si>
  <si>
    <t>个数*第6年不良率</t>
    <phoneticPr fontId="2" type="noConversion"/>
  </si>
  <si>
    <t>第7年不良率</t>
    <phoneticPr fontId="2" type="noConversion"/>
  </si>
  <si>
    <t>第7年故障数</t>
    <phoneticPr fontId="2" type="noConversion"/>
  </si>
  <si>
    <t>第8年不良率</t>
    <phoneticPr fontId="2" type="noConversion"/>
  </si>
  <si>
    <t>第8年故障数</t>
    <phoneticPr fontId="2" type="noConversion"/>
  </si>
  <si>
    <t>部件可维修占比</t>
  </si>
  <si>
    <t>周转次数</t>
  </si>
  <si>
    <t>参照基础数据参数1，比对“部件名称”，填充对应的“可维修比例”</t>
    <phoneticPr fontId="2" type="noConversion"/>
  </si>
  <si>
    <t>1.参考购买的延保产品级别，如为白金＋--2H、金牌＋--4H或标准＋--ND;
2.参照基础数据参数1，比对“部件名称”与级别(2H&amp;4H&amp;ND) ，填充对应的“可维修比例”</t>
    <phoneticPr fontId="2" type="noConversion"/>
  </si>
  <si>
    <t>(第4年故障数+第5年故障数+···+第8年故障数)/周转次数</t>
    <phoneticPr fontId="2" type="noConversion"/>
  </si>
  <si>
    <t>部件成本价</t>
    <phoneticPr fontId="2" type="noConversion"/>
  </si>
  <si>
    <t>理论周转量/备货量</t>
    <phoneticPr fontId="2" type="noConversion"/>
  </si>
  <si>
    <t>部件成本价*理论周转量/备货量</t>
    <phoneticPr fontId="2" type="noConversion"/>
  </si>
  <si>
    <t>备件成本汇总列</t>
  </si>
  <si>
    <t>(第4年故障数+第5年故障数+···+第8年故障数)*部件可维修占比</t>
    <phoneticPr fontId="2" type="noConversion"/>
  </si>
  <si>
    <t>剩余可维修数</t>
    <phoneticPr fontId="2" type="noConversion"/>
  </si>
  <si>
    <t>剩余可维修数*部件成本价</t>
    <phoneticPr fontId="2" type="noConversion"/>
  </si>
  <si>
    <t>剩余不可维修数</t>
    <phoneticPr fontId="2" type="noConversion"/>
  </si>
  <si>
    <t>备件削价成本</t>
    <phoneticPr fontId="2" type="noConversion"/>
  </si>
  <si>
    <t>可维修成本</t>
    <phoneticPr fontId="2" type="noConversion"/>
  </si>
  <si>
    <t>不可维修部分备件成本</t>
    <phoneticPr fontId="2" type="noConversion"/>
  </si>
  <si>
    <t>备件削价成本+可维修成本+不可维修部分备件成本</t>
    <phoneticPr fontId="2" type="noConversion"/>
  </si>
  <si>
    <t>工程师上门等级</t>
  </si>
  <si>
    <t>ASP上门总成本</t>
  </si>
  <si>
    <t>工程师单次上门成本</t>
    <phoneticPr fontId="2" type="noConversion"/>
  </si>
  <si>
    <t>(第4年故障数+第5年故障数+···+第8年故障数)*工程师单次上门成本</t>
    <phoneticPr fontId="2" type="noConversion"/>
  </si>
  <si>
    <t>汇总</t>
    <phoneticPr fontId="2" type="noConversion"/>
  </si>
  <si>
    <t>1.备件成本&amp;人工成本</t>
    <phoneticPr fontId="2" type="noConversion"/>
  </si>
  <si>
    <t>2.仓储成本</t>
    <phoneticPr fontId="2" type="noConversion"/>
  </si>
  <si>
    <t>初级</t>
  </si>
  <si>
    <t>中级</t>
  </si>
  <si>
    <t>上门工程师等级</t>
    <phoneticPr fontId="2" type="noConversion"/>
  </si>
  <si>
    <t>高级</t>
    <phoneticPr fontId="2" type="noConversion"/>
  </si>
  <si>
    <t>抓取部件名称，参考基础数据参数1，比对名称匹配的上门工程师等级</t>
    <phoneticPr fontId="2" type="noConversion"/>
  </si>
  <si>
    <t>上门工程师单次上门成本</t>
    <phoneticPr fontId="2" type="noConversion"/>
  </si>
  <si>
    <t>抓取工程师上门等级，参考基础数据参数1，比对上门工程师等级匹配上门工程师单次上门成本</t>
    <phoneticPr fontId="2" type="noConversion"/>
  </si>
  <si>
    <t>成本项</t>
  </si>
  <si>
    <t>仓储成本</t>
  </si>
  <si>
    <t>外包库及管理成本</t>
  </si>
  <si>
    <t>(每1pcs外包库单备件管理费(元/年)+每1pcs外包库单备件仓储费(元/年))*(第4年故障数+第5年故障数+…...第8年故障数)</t>
    <phoneticPr fontId="2" type="noConversion"/>
  </si>
  <si>
    <t>单价(未税)</t>
  </si>
  <si>
    <t>次数</t>
  </si>
  <si>
    <t>未税价(元)</t>
  </si>
  <si>
    <t>汇总</t>
  </si>
  <si>
    <t>3.物流运输成本</t>
    <phoneticPr fontId="2" type="noConversion"/>
  </si>
  <si>
    <t>第4年故障数+第5年故障数+…...第8年故障数</t>
    <phoneticPr fontId="2" type="noConversion"/>
  </si>
  <si>
    <t>备件派件成本</t>
    <phoneticPr fontId="2" type="noConversion"/>
  </si>
  <si>
    <t>备件派件成本*次数</t>
    <phoneticPr fontId="2" type="noConversion"/>
  </si>
  <si>
    <t>⑤</t>
    <phoneticPr fontId="2" type="noConversion"/>
  </si>
  <si>
    <t>⑥</t>
    <phoneticPr fontId="2" type="noConversion"/>
  </si>
  <si>
    <t>故障件回收</t>
    <phoneticPr fontId="2" type="noConversion"/>
  </si>
  <si>
    <t>故障件回收 单价*次数</t>
    <phoneticPr fontId="2" type="noConversion"/>
  </si>
  <si>
    <r>
      <t>①勾选的服务含”</t>
    </r>
    <r>
      <rPr>
        <b/>
        <sz val="11"/>
        <color rgb="FFFF0000"/>
        <rFont val="等线"/>
        <family val="3"/>
        <charset val="134"/>
        <scheme val="minor"/>
      </rPr>
      <t>介质保留</t>
    </r>
    <r>
      <rPr>
        <sz val="11"/>
        <color theme="1"/>
        <rFont val="等线"/>
        <family val="2"/>
        <scheme val="minor"/>
      </rPr>
      <t>“时，以备件派件成本的次数减去部件名称为SSD与HDD对应的第4年故障数-第8年故障数；
②勾选的服务不含”介质保留“时，求和第4年故障数+第5年故障数+…...第8年故障数</t>
    </r>
    <phoneticPr fontId="2" type="noConversion"/>
  </si>
  <si>
    <t>故障件返厂维修</t>
    <phoneticPr fontId="2" type="noConversion"/>
  </si>
  <si>
    <t>故障件返厂维修 单价*次数</t>
    <phoneticPr fontId="2" type="noConversion"/>
  </si>
  <si>
    <t>求和第4年故障数+第5年故障数+…...第8年故障数</t>
    <phoneticPr fontId="2" type="noConversion"/>
  </si>
  <si>
    <t>故障件补库</t>
    <phoneticPr fontId="2" type="noConversion"/>
  </si>
  <si>
    <t>故障件补库 单价*次数</t>
    <phoneticPr fontId="2" type="noConversion"/>
  </si>
  <si>
    <t>求和</t>
    <phoneticPr fontId="2" type="noConversion"/>
  </si>
  <si>
    <t>成本汇总</t>
  </si>
  <si>
    <t>单台1年标准＋成本(未税)</t>
  </si>
  <si>
    <t>备件成本</t>
  </si>
  <si>
    <t>介质保留</t>
  </si>
  <si>
    <t>ASP上门成本</t>
  </si>
  <si>
    <t>物流运输成本</t>
  </si>
  <si>
    <t>400分摊成本</t>
  </si>
  <si>
    <t>X台1年标准＋成本(未税)</t>
    <phoneticPr fontId="2" type="noConversion"/>
  </si>
  <si>
    <t>汇总1</t>
    <phoneticPr fontId="2" type="noConversion"/>
  </si>
  <si>
    <t>汇总2</t>
    <phoneticPr fontId="2" type="noConversion"/>
  </si>
  <si>
    <t>汇总3</t>
  </si>
  <si>
    <t>汇总3</t>
    <phoneticPr fontId="2" type="noConversion"/>
  </si>
  <si>
    <t>汇总4</t>
  </si>
  <si>
    <t>汇总4</t>
    <phoneticPr fontId="2" type="noConversion"/>
  </si>
  <si>
    <t>a.选择的②中不含介质保留服务，抓取汇总1数值；
b.选择的②中含介质保留服务，则以汇总1减去部件名称为SSD与HDD对应的“备件成本汇总列”对应数值之和</t>
    <phoneticPr fontId="2" type="noConversion"/>
  </si>
  <si>
    <r>
      <t>a.如选择的②中不含介质保留，直接取值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
如选择的②中含介质保留，则关于部件名称为SSD与HDD对应的“备件成本汇总列”做求和</t>
    </r>
    <phoneticPr fontId="2" type="noConversion"/>
  </si>
  <si>
    <t>按部件名称对应的为“主板”数量*5*购买延保服务年数</t>
    <phoneticPr fontId="2" type="noConversion"/>
  </si>
  <si>
    <t>左右的值/部件名称对应的为“主板”数量</t>
    <phoneticPr fontId="2" type="noConversion"/>
  </si>
  <si>
    <t>成本项</t>
    <phoneticPr fontId="2" type="noConversion"/>
  </si>
  <si>
    <t>展示原服务产品描述与服务结束时间</t>
    <phoneticPr fontId="2" type="noConversion"/>
  </si>
  <si>
    <t>302-000448</t>
  </si>
  <si>
    <t>69-001592</t>
  </si>
  <si>
    <t>服务器白金900W B版本交流电源</t>
  </si>
  <si>
    <t>302-000612</t>
  </si>
  <si>
    <t>69-001507</t>
  </si>
  <si>
    <t>硬盘1800G-SAS 12Gb/s-10K 2.5及托 XJ</t>
  </si>
  <si>
    <t>302-001003</t>
  </si>
  <si>
    <t>69-001620</t>
  </si>
  <si>
    <t>S主板 S920S00K-5221K-AF 2*(920,32C) 1711</t>
  </si>
  <si>
    <t>年均1pcs备件周转次数-标准＋</t>
    <phoneticPr fontId="2" type="noConversion"/>
  </si>
  <si>
    <t>年均1pcs备件周转次数-金牌</t>
    <phoneticPr fontId="2" type="noConversion"/>
  </si>
  <si>
    <t>年均1pcs备件周转次数-白金</t>
    <phoneticPr fontId="2" type="noConversion"/>
  </si>
  <si>
    <t>第6年不良率</t>
  </si>
  <si>
    <t>第7年不良率</t>
  </si>
  <si>
    <t>第8年不良率</t>
  </si>
  <si>
    <t xml:space="preserve">1.对接信创报价系统--服务器配件管理，以69料号匹配区域主管报价，如报价为1016.32，最终填充价格需为1016.32/1.13的值
2.报价系统无法匹配到时，由物料号，对接sap系统移交价；
</t>
    <phoneticPr fontId="2" type="noConversion"/>
  </si>
  <si>
    <t>查看标黄“原服务产品年限与级别”为几年服务，以及购买的延保服务产品级别，如
①原项目服务产品为3年，客户需求购买2年延保服务，且核算日期早于服务产品结束日期，第4年不良率参考基础数据参数1-第4年不良率，第5年不良率参考基础数据参数1-第5年不良率；
②原项目服务产品为3年，但核算日期晚于服务产品结束日期，如核算日期为2026/1/5，但原项目(3年标准＋服务)于2024/12/13结束服务，相差12多月，参考基础数据参数1-第5年不良率，第4年不良率值为0</t>
    <phoneticPr fontId="2" type="noConversion"/>
  </si>
  <si>
    <t>(第4年故障数+第5年故障数+···+第8年故障数)减去剩余可维修数</t>
    <phoneticPr fontId="2" type="noConversion"/>
  </si>
  <si>
    <t>剩余不可维修数*部件成本价</t>
    <phoneticPr fontId="2" type="noConversion"/>
  </si>
  <si>
    <r>
      <t>求和第4年故障数+第5年故障数+…...第8年故障数减去对应所有</t>
    </r>
    <r>
      <rPr>
        <b/>
        <sz val="11"/>
        <color rgb="FFFF0000"/>
        <rFont val="等线"/>
        <family val="3"/>
        <charset val="134"/>
        <scheme val="minor"/>
      </rPr>
      <t>部件可维修占比</t>
    </r>
    <r>
      <rPr>
        <sz val="11"/>
        <color theme="1"/>
        <rFont val="等线"/>
        <family val="2"/>
        <scheme val="minor"/>
      </rPr>
      <t>为0的第4年故障数+第5年故障数+…...第8年故障数</t>
    </r>
    <phoneticPr fontId="2" type="noConversion"/>
  </si>
  <si>
    <t>抓取备件测算系统--基础数据--各库区库存，单外包库每月成本为849元，计算除武汉、待定、武汉项目外的库存地数量，如分别为35与10000，即计算方法为849*35/10000，</t>
    <phoneticPr fontId="2" type="noConversion"/>
  </si>
  <si>
    <t>建议设定为手工输入值</t>
  </si>
  <si>
    <t>查看标黄“原服务产品年限与级别”为几年服务，以及购买的延保服务产品级别，
如①原项目服务产品为5年，且核算日期早于服务产品结束日期，可直接参考基础数据参数1-第6年不良率；
②原项目服务产品为3年，客购买3年延保服务，但核算日期晚于服务产品结束日期，如核算日期为2026/1/5，但原项目(3年标准＋服务)于2023/3/13结束服务，核算日期早于服务结束日期，参考基础数据参数1-第6年不良率，第4-5年不良率值为0，第7-8年参考基础数据参数1</t>
    <phoneticPr fontId="2" type="noConversion"/>
  </si>
  <si>
    <r>
      <t xml:space="preserve">1.查看标黄“原服务产品年限与级别”为几年服务，以及购买的延保服务产品级别，如①项目原服务产品为3年，且核算日期早于服务产品结束日期，可直接参考基础数据参数1-第4年不良率；②原项目服务产品为3年，但核算日期晚于服务产品结束日期，如核算日期为2025/2/28，但原项目于2024/12/13结束服务，相差2多月，参考基础数据参数1-第4年不良率   </t>
    </r>
    <r>
      <rPr>
        <b/>
        <sz val="11"/>
        <color rgb="FFFF0000"/>
        <rFont val="等线"/>
        <family val="3"/>
        <charset val="134"/>
        <scheme val="minor"/>
      </rPr>
      <t>以超期6个月为上限，如核算日期减产品结束日期小于6个月，则按第4年不良率填充，如核算日期减产品结束日期大于6个月，则按第5年不良率填充</t>
    </r>
    <r>
      <rPr>
        <b/>
        <sz val="11"/>
        <color theme="1"/>
        <rFont val="等线"/>
        <family val="3"/>
        <charset val="134"/>
        <scheme val="minor"/>
      </rPr>
      <t>，第4年值为0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</si>
</sst>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b/>
      <sz val="11"/>
      <color theme="9" tint="0.399975585192419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33">
    <xf numFmtId="0" fontId="0" fillId="0" borderId="0" xfId="0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9" fontId="3" fillId="0" borderId="0" xfId="1" applyFont="1" applyAlignment="1"/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vertical="top" wrapText="1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/>
    <xf numFmtId="0" fontId="0" fillId="0" borderId="1" xfId="0" applyBorder="1" applyAlignment="1">
      <alignment horizontal="center"/>
    </xf>
    <xf numFmtId="0" fontId="7" fillId="0" borderId="1" xfId="0" applyFont="1" applyBorder="1" applyAlignment="1"/>
    <xf numFmtId="2" fontId="7" fillId="0" borderId="1" xfId="0" applyNumberFormat="1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6" fillId="0" borderId="0" xfId="0" applyFont="1" applyAlignment="1"/>
  </cellXfs>
  <cellStyles count="4">
    <cellStyle name="百分比" xfId="1" builtinId="5"/>
    <cellStyle name="常规" xfId="0" builtinId="0"/>
    <cellStyle name="常规 2 4 2" xfId="2" xr:uid="{25F03140-DED7-4695-B03C-864A175DE4D3}"/>
    <cellStyle name="常规 3" xfId="3" xr:uid="{17F9C7DE-5775-4A73-9991-22B633088849}"/>
  </cellStyles>
  <dxfs count="1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5104;&#26412;&#26680;&#31639;\&#25104;&#26412;&#32479;&#35745;\&#20445;&#22806;&#26381;&#21153;&#25104;&#26412;\&#28145;&#22323;&#24066;&#26816;&#23519;&#38498;XX&#39033;&#30446;&#24310;&#20445;1&#24180;&#26631;&#20934;+&#20171;&#36136;&#20445;&#30041;&#26680;&#31639;(&#24050;&#33258;&#21160;&#36824;&#21407;).xlsx" TargetMode="External"/><Relationship Id="rId1" Type="http://schemas.openxmlformats.org/officeDocument/2006/relationships/externalLinkPath" Target="/&#25104;&#26412;&#26680;&#31639;/&#25104;&#26412;&#32479;&#35745;/&#20445;&#22806;&#26381;&#21153;&#25104;&#26412;/&#28145;&#22323;&#24066;&#26816;&#23519;&#38498;XX&#39033;&#30446;&#24310;&#20445;1&#24180;&#26631;&#20934;+&#20171;&#36136;&#20445;&#30041;&#26680;&#31639;(&#24050;&#33258;&#21160;&#36824;&#21407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5104;&#26412;&#26680;&#31639;\&#25104;&#26412;&#32479;&#35745;\&#20445;&#22806;&#26381;&#21153;&#25104;&#26412;\&#21608;&#36716;&#29575;.xlsx" TargetMode="External"/><Relationship Id="rId1" Type="http://schemas.openxmlformats.org/officeDocument/2006/relationships/externalLinkPath" Target="/&#25104;&#26412;&#26680;&#31639;/&#25104;&#26412;&#32479;&#35745;/&#20445;&#22806;&#26381;&#21153;&#25104;&#26412;/&#21608;&#36716;&#295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工程师上门成本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8786D-F880-4F4C-A567-2B33F5A97B6A}" name="表1" displayName="表1" ref="A1:M19" totalsRowShown="0">
  <autoFilter ref="A1:M19" xr:uid="{E9A8786D-F880-4F4C-A567-2B33F5A97B6A}"/>
  <tableColumns count="13">
    <tableColumn id="1" xr3:uid="{A38E09A0-3935-4639-BD20-DB7B1CEF157B}" name="部件"/>
    <tableColumn id="2" xr3:uid="{DB042181-C50C-4E2A-847C-09A7BA2F17EF}" name="年均1pcs备件周转次数-标准＋" dataDxfId="11"/>
    <tableColumn id="3" xr3:uid="{725F46A1-CA93-46F4-942E-CD083136D21A}" name="年均1pcs备件周转次数-金牌" dataDxfId="10"/>
    <tableColumn id="4" xr3:uid="{5836B81F-4033-41F0-A2A8-EA8B16F92169}" name="年均1pcs备件周转次数-白金" dataDxfId="9"/>
    <tableColumn id="5" xr3:uid="{9F86A37B-7EF4-4123-829C-0EFEC16FB65F}" name="第1-3年不良率" dataDxfId="8"/>
    <tableColumn id="6" xr3:uid="{6D514FF0-22AB-4D13-8354-A25B1640DB6C}" name="第4年不良率" dataDxfId="7"/>
    <tableColumn id="7" xr3:uid="{09C676DB-B92F-41AC-AFB6-F3D510054A82}" name="第5年不良率" dataDxfId="6"/>
    <tableColumn id="11" xr3:uid="{9A9FC2CD-92C6-433E-9AC2-0379C5F945D0}" name="第6年不良率" dataDxfId="2"/>
    <tableColumn id="12" xr3:uid="{F8AEF928-403D-4661-B63F-65BA82ABF8BB}" name="第7年不良率" dataDxfId="1"/>
    <tableColumn id="13" xr3:uid="{AF987A03-54AD-4459-A0F7-2CA22A381675}" name="第8年不良率" dataDxfId="0"/>
    <tableColumn id="8" xr3:uid="{1CCE2CFF-AEDB-4494-BD37-B31FFBACEE73}" name="可维修比例" dataDxfId="3">
      <calculatedColumnFormula>VLOOKUP(表1[[#This Row],[部件]],[2]Sheet1!$A$19:$C$33,3,0)</calculatedColumnFormula>
    </tableColumn>
    <tableColumn id="9" xr3:uid="{FD27D958-E83A-4729-A022-D3EACC1943AC}" name="上门工程师等级" dataDxfId="5">
      <calculatedColumnFormula>VLOOKUP(表1[[#This Row],[部件]],[1]!表1_468142414242[[部件名称]:[工程师上门等级]],15,0)</calculatedColumnFormula>
    </tableColumn>
    <tableColumn id="10" xr3:uid="{5C4DE286-C495-4025-837B-BEA3DD3D2475}" name="上门工程师单次上门成本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DAFC-8034-4C11-86AC-147F0D0EC9C1}">
  <dimension ref="A1:AB39"/>
  <sheetViews>
    <sheetView tabSelected="1" workbookViewId="0">
      <selection activeCell="G12" sqref="G12"/>
    </sheetView>
  </sheetViews>
  <sheetFormatPr defaultRowHeight="14.25" x14ac:dyDescent="0.2"/>
  <cols>
    <col min="1" max="1" width="32.625" customWidth="1"/>
    <col min="2" max="2" width="25" customWidth="1"/>
    <col min="3" max="3" width="21.875" customWidth="1"/>
    <col min="6" max="6" width="24.75" customWidth="1"/>
    <col min="7" max="7" width="37" customWidth="1"/>
    <col min="8" max="8" width="10.75" customWidth="1"/>
    <col min="9" max="9" width="36" customWidth="1"/>
    <col min="11" max="11" width="34.75" customWidth="1"/>
    <col min="18" max="18" width="13.75" customWidth="1"/>
    <col min="20" max="20" width="11" bestFit="1" customWidth="1"/>
    <col min="21" max="22" width="9.125" bestFit="1" customWidth="1"/>
    <col min="23" max="23" width="9.875" bestFit="1" customWidth="1"/>
    <col min="24" max="25" width="11" bestFit="1" customWidth="1"/>
    <col min="27" max="28" width="11" bestFit="1" customWidth="1"/>
  </cols>
  <sheetData>
    <row r="1" spans="1:28" x14ac:dyDescent="0.2">
      <c r="A1" s="4" t="s">
        <v>24</v>
      </c>
      <c r="B1" s="4"/>
      <c r="C1" s="4"/>
    </row>
    <row r="2" spans="1:28" x14ac:dyDescent="0.2">
      <c r="A2" s="3" t="s">
        <v>30</v>
      </c>
      <c r="B2" s="7" t="s">
        <v>123</v>
      </c>
    </row>
    <row r="3" spans="1:28" x14ac:dyDescent="0.2">
      <c r="A3" s="12" t="s">
        <v>31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0"/>
    </row>
    <row r="4" spans="1:28" x14ac:dyDescent="0.2">
      <c r="A4" s="3" t="s">
        <v>32</v>
      </c>
      <c r="B4" s="11" t="s">
        <v>144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28" x14ac:dyDescent="0.2">
      <c r="A5" s="3" t="s">
        <v>33</v>
      </c>
      <c r="B5" s="32" t="s">
        <v>145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28" x14ac:dyDescent="0.2">
      <c r="A6" s="3" t="s">
        <v>34</v>
      </c>
      <c r="B6" s="5">
        <v>124.52830188679246</v>
      </c>
      <c r="C6" s="7" t="s">
        <v>23</v>
      </c>
    </row>
    <row r="7" spans="1:28" x14ac:dyDescent="0.2">
      <c r="A7" s="3" t="s">
        <v>35</v>
      </c>
      <c r="B7" s="5">
        <v>37.735849056603769</v>
      </c>
      <c r="C7" s="7" t="s">
        <v>23</v>
      </c>
    </row>
    <row r="8" spans="1:28" x14ac:dyDescent="0.2">
      <c r="A8" s="3" t="s">
        <v>36</v>
      </c>
      <c r="B8" s="6">
        <v>0.35</v>
      </c>
      <c r="C8" s="7" t="s">
        <v>23</v>
      </c>
    </row>
    <row r="9" spans="1:28" x14ac:dyDescent="0.2">
      <c r="A9" s="3"/>
      <c r="B9" s="6"/>
      <c r="C9" s="7"/>
    </row>
    <row r="10" spans="1:28" x14ac:dyDescent="0.2">
      <c r="A10" s="3" t="s">
        <v>72</v>
      </c>
    </row>
    <row r="11" spans="1:28" s="8" customFormat="1" ht="42.75" x14ac:dyDescent="0.2">
      <c r="A11" s="9" t="s">
        <v>25</v>
      </c>
      <c r="B11" s="9" t="s">
        <v>26</v>
      </c>
      <c r="C11" s="9" t="s">
        <v>27</v>
      </c>
      <c r="D11" s="9" t="s">
        <v>28</v>
      </c>
      <c r="E11" s="9" t="s">
        <v>29</v>
      </c>
      <c r="F11" s="9" t="s">
        <v>55</v>
      </c>
      <c r="G11" s="9" t="s">
        <v>20</v>
      </c>
      <c r="H11" s="9" t="s">
        <v>39</v>
      </c>
      <c r="I11" s="9" t="s">
        <v>21</v>
      </c>
      <c r="J11" s="9" t="s">
        <v>41</v>
      </c>
      <c r="K11" s="9" t="s">
        <v>42</v>
      </c>
      <c r="L11" s="9" t="s">
        <v>43</v>
      </c>
      <c r="M11" s="9" t="s">
        <v>46</v>
      </c>
      <c r="N11" s="9" t="s">
        <v>47</v>
      </c>
      <c r="O11" s="9" t="s">
        <v>48</v>
      </c>
      <c r="P11" s="9" t="s">
        <v>49</v>
      </c>
      <c r="Q11" s="9" t="s">
        <v>50</v>
      </c>
      <c r="R11" s="9" t="s">
        <v>51</v>
      </c>
      <c r="S11" s="9" t="s">
        <v>56</v>
      </c>
      <c r="T11" s="9" t="s">
        <v>63</v>
      </c>
      <c r="U11" s="9" t="s">
        <v>60</v>
      </c>
      <c r="V11" s="9" t="s">
        <v>62</v>
      </c>
      <c r="W11" s="9" t="s">
        <v>64</v>
      </c>
      <c r="X11" s="9" t="s">
        <v>65</v>
      </c>
      <c r="Y11" s="9" t="s">
        <v>58</v>
      </c>
      <c r="Z11" s="9" t="s">
        <v>67</v>
      </c>
      <c r="AA11" s="9" t="s">
        <v>69</v>
      </c>
      <c r="AB11" s="9" t="s">
        <v>68</v>
      </c>
    </row>
    <row r="12" spans="1:28" s="8" customFormat="1" ht="182.25" customHeight="1" x14ac:dyDescent="0.2">
      <c r="A12" s="20" t="s">
        <v>37</v>
      </c>
      <c r="B12" s="20" t="s">
        <v>38</v>
      </c>
      <c r="C12" s="20" t="s">
        <v>37</v>
      </c>
      <c r="D12" s="20" t="s">
        <v>38</v>
      </c>
      <c r="E12" s="20" t="s">
        <v>37</v>
      </c>
      <c r="F12" s="20" t="s">
        <v>139</v>
      </c>
      <c r="G12" s="20" t="s">
        <v>147</v>
      </c>
      <c r="H12" s="25" t="s">
        <v>40</v>
      </c>
      <c r="I12" s="20" t="s">
        <v>140</v>
      </c>
      <c r="J12" s="25" t="s">
        <v>44</v>
      </c>
      <c r="K12" s="20" t="s">
        <v>146</v>
      </c>
      <c r="L12" s="25" t="s">
        <v>45</v>
      </c>
      <c r="M12" s="20"/>
      <c r="N12" s="20"/>
      <c r="O12" s="20"/>
      <c r="P12" s="20"/>
      <c r="Q12" s="20" t="s">
        <v>52</v>
      </c>
      <c r="R12" s="20" t="s">
        <v>53</v>
      </c>
      <c r="S12" s="20" t="s">
        <v>54</v>
      </c>
      <c r="T12" s="20" t="s">
        <v>57</v>
      </c>
      <c r="U12" s="20" t="s">
        <v>59</v>
      </c>
      <c r="V12" s="20" t="s">
        <v>141</v>
      </c>
      <c r="W12" s="20" t="s">
        <v>61</v>
      </c>
      <c r="X12" s="20" t="s">
        <v>142</v>
      </c>
      <c r="Y12" s="20" t="s">
        <v>66</v>
      </c>
      <c r="Z12" s="20" t="s">
        <v>78</v>
      </c>
      <c r="AA12" s="20" t="s">
        <v>80</v>
      </c>
      <c r="AB12" s="20" t="s">
        <v>70</v>
      </c>
    </row>
    <row r="13" spans="1:28" x14ac:dyDescent="0.2">
      <c r="A13" s="16" t="s">
        <v>124</v>
      </c>
      <c r="B13" s="29" t="s">
        <v>125</v>
      </c>
      <c r="C13" s="29" t="s">
        <v>126</v>
      </c>
      <c r="D13" s="29" t="s">
        <v>5</v>
      </c>
      <c r="E13" s="29">
        <v>8</v>
      </c>
      <c r="F13" s="30">
        <v>699.11504424778764</v>
      </c>
      <c r="G13" s="31">
        <v>2.2000000000000001E-3</v>
      </c>
      <c r="H13" s="26">
        <v>1.7600000000000001E-2</v>
      </c>
      <c r="I13" s="16"/>
      <c r="J13" s="16"/>
      <c r="K13" s="16"/>
      <c r="L13" s="16"/>
      <c r="M13" s="16"/>
      <c r="N13" s="16"/>
      <c r="O13" s="16"/>
      <c r="P13" s="16"/>
      <c r="Q13" s="27">
        <v>0</v>
      </c>
      <c r="R13" s="28">
        <v>1</v>
      </c>
      <c r="S13" s="26">
        <v>1.7600000000000001E-2</v>
      </c>
      <c r="T13" s="26">
        <v>12.304424778761099</v>
      </c>
      <c r="U13" s="26">
        <v>0</v>
      </c>
      <c r="V13" s="26">
        <v>1.7600000000000001E-2</v>
      </c>
      <c r="W13" s="26">
        <v>0</v>
      </c>
      <c r="X13" s="26"/>
      <c r="Y13" s="26">
        <v>12.304424778761064</v>
      </c>
      <c r="Z13" s="26" t="s">
        <v>74</v>
      </c>
      <c r="AA13" s="26">
        <v>444.021136363636</v>
      </c>
      <c r="AB13" s="26">
        <v>7.8147719999999943</v>
      </c>
    </row>
    <row r="14" spans="1:28" x14ac:dyDescent="0.2">
      <c r="A14" s="16" t="s">
        <v>127</v>
      </c>
      <c r="B14" s="29" t="s">
        <v>128</v>
      </c>
      <c r="C14" s="29" t="s">
        <v>129</v>
      </c>
      <c r="D14" s="29" t="s">
        <v>4</v>
      </c>
      <c r="E14" s="29">
        <v>36</v>
      </c>
      <c r="F14" s="30">
        <v>1274.3362831858408</v>
      </c>
      <c r="G14" s="31">
        <v>6.0499999999999998E-3</v>
      </c>
      <c r="H14" s="26">
        <v>0.21779999999999999</v>
      </c>
      <c r="I14" s="16"/>
      <c r="J14" s="16"/>
      <c r="K14" s="16"/>
      <c r="L14" s="16"/>
      <c r="M14" s="16"/>
      <c r="N14" s="16"/>
      <c r="O14" s="16"/>
      <c r="P14" s="16"/>
      <c r="Q14" s="27">
        <v>0</v>
      </c>
      <c r="R14" s="28">
        <v>1</v>
      </c>
      <c r="S14" s="26">
        <v>0.21779999999999999</v>
      </c>
      <c r="T14" s="26">
        <v>277.55044247787612</v>
      </c>
      <c r="U14" s="26">
        <v>0</v>
      </c>
      <c r="V14" s="26">
        <v>0.21779999999999999</v>
      </c>
      <c r="W14" s="26">
        <v>0</v>
      </c>
      <c r="X14" s="26"/>
      <c r="Y14" s="26">
        <v>277.55044247787612</v>
      </c>
      <c r="Z14" s="26" t="s">
        <v>75</v>
      </c>
      <c r="AA14" s="26">
        <v>679.04181818181803</v>
      </c>
      <c r="AB14" s="26">
        <v>147.89530799999997</v>
      </c>
    </row>
    <row r="15" spans="1:28" x14ac:dyDescent="0.2">
      <c r="A15" s="16" t="s">
        <v>130</v>
      </c>
      <c r="B15" s="29" t="s">
        <v>131</v>
      </c>
      <c r="C15" s="29" t="s">
        <v>132</v>
      </c>
      <c r="D15" s="29" t="s">
        <v>1</v>
      </c>
      <c r="E15" s="29">
        <v>4</v>
      </c>
      <c r="F15" s="30">
        <v>19150.442477876109</v>
      </c>
      <c r="G15" s="31">
        <v>8.0300000000000007E-3</v>
      </c>
      <c r="H15" s="26">
        <v>3.2120000000000003E-2</v>
      </c>
      <c r="I15" s="16"/>
      <c r="J15" s="16"/>
      <c r="K15" s="16"/>
      <c r="L15" s="16"/>
      <c r="M15" s="16"/>
      <c r="N15" s="16"/>
      <c r="O15" s="16"/>
      <c r="P15" s="16"/>
      <c r="Q15" s="27">
        <v>0.3</v>
      </c>
      <c r="R15" s="28">
        <v>3.5</v>
      </c>
      <c r="S15" s="26">
        <v>9.1771428571428577E-3</v>
      </c>
      <c r="T15" s="26">
        <v>175.74634639696592</v>
      </c>
      <c r="U15" s="26">
        <v>9.6360000000000005E-3</v>
      </c>
      <c r="V15" s="26">
        <v>2.2484000000000004E-2</v>
      </c>
      <c r="W15" s="26">
        <v>64.586782300884963</v>
      </c>
      <c r="X15" s="26">
        <v>430.57854867256651</v>
      </c>
      <c r="Y15" s="26">
        <v>670.91167737041746</v>
      </c>
      <c r="Z15" s="26" t="s">
        <v>75</v>
      </c>
      <c r="AA15" s="26">
        <v>679.04181818181803</v>
      </c>
      <c r="AB15" s="26">
        <v>21.810823199999998</v>
      </c>
    </row>
    <row r="16" spans="1:28" x14ac:dyDescent="0.2">
      <c r="A16" s="16"/>
      <c r="B16" s="24"/>
      <c r="C16" s="24"/>
      <c r="D16" s="24"/>
      <c r="E16" s="24"/>
      <c r="F16" s="24"/>
      <c r="G16" s="24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H17" s="3" t="s">
        <v>71</v>
      </c>
      <c r="I17" s="3"/>
      <c r="J17" s="3" t="s">
        <v>71</v>
      </c>
      <c r="K17" s="3"/>
      <c r="L17" s="3" t="s">
        <v>71</v>
      </c>
      <c r="M17" s="3"/>
      <c r="N17" s="3" t="s">
        <v>71</v>
      </c>
      <c r="O17" s="3"/>
      <c r="P17" s="3" t="s">
        <v>71</v>
      </c>
      <c r="T17" s="3" t="s">
        <v>71</v>
      </c>
      <c r="W17" s="3" t="s">
        <v>71</v>
      </c>
      <c r="X17" s="3" t="s">
        <v>71</v>
      </c>
      <c r="Y17" s="3" t="s">
        <v>112</v>
      </c>
      <c r="AB17" s="3" t="s">
        <v>113</v>
      </c>
    </row>
    <row r="18" spans="1:28" x14ac:dyDescent="0.2">
      <c r="A18" s="3" t="s">
        <v>73</v>
      </c>
    </row>
    <row r="19" spans="1:28" x14ac:dyDescent="0.2">
      <c r="A19" s="13" t="s">
        <v>81</v>
      </c>
      <c r="B19" s="17" t="s">
        <v>82</v>
      </c>
      <c r="C19" s="17"/>
      <c r="D19" s="17"/>
      <c r="E19" s="17"/>
      <c r="F19" s="17"/>
      <c r="G19" s="17"/>
    </row>
    <row r="20" spans="1:28" x14ac:dyDescent="0.2">
      <c r="A20" s="16" t="s">
        <v>83</v>
      </c>
      <c r="B20" s="18" t="s">
        <v>84</v>
      </c>
      <c r="C20" s="18"/>
      <c r="D20" s="18"/>
      <c r="E20" s="18"/>
      <c r="F20" s="18"/>
      <c r="G20" s="18"/>
    </row>
    <row r="21" spans="1:28" x14ac:dyDescent="0.2">
      <c r="A21" s="16" t="s">
        <v>71</v>
      </c>
      <c r="B21" s="19" t="s">
        <v>115</v>
      </c>
      <c r="C21" s="19"/>
      <c r="D21" s="19"/>
      <c r="E21" s="19"/>
      <c r="F21" s="19"/>
      <c r="G21" s="19"/>
    </row>
    <row r="23" spans="1:28" x14ac:dyDescent="0.2">
      <c r="A23" s="3" t="s">
        <v>89</v>
      </c>
    </row>
    <row r="24" spans="1:28" ht="28.5" x14ac:dyDescent="0.2">
      <c r="A24" s="23" t="s">
        <v>81</v>
      </c>
      <c r="B24" s="23" t="s">
        <v>85</v>
      </c>
      <c r="C24" s="23" t="s">
        <v>86</v>
      </c>
      <c r="D24" s="23" t="s">
        <v>87</v>
      </c>
    </row>
    <row r="25" spans="1:28" ht="42.75" x14ac:dyDescent="0.2">
      <c r="A25" s="14" t="s">
        <v>91</v>
      </c>
      <c r="B25" s="14" t="s">
        <v>93</v>
      </c>
      <c r="C25" s="15" t="s">
        <v>90</v>
      </c>
      <c r="D25" s="15" t="s">
        <v>92</v>
      </c>
    </row>
    <row r="26" spans="1:28" ht="171" x14ac:dyDescent="0.2">
      <c r="A26" s="14" t="s">
        <v>95</v>
      </c>
      <c r="B26" s="14" t="s">
        <v>94</v>
      </c>
      <c r="C26" s="15" t="s">
        <v>97</v>
      </c>
      <c r="D26" s="15" t="s">
        <v>96</v>
      </c>
    </row>
    <row r="27" spans="1:28" ht="85.5" x14ac:dyDescent="0.2">
      <c r="A27" s="14" t="s">
        <v>98</v>
      </c>
      <c r="B27" s="14" t="s">
        <v>94</v>
      </c>
      <c r="C27" s="15" t="s">
        <v>143</v>
      </c>
      <c r="D27" s="15" t="s">
        <v>99</v>
      </c>
    </row>
    <row r="28" spans="1:28" ht="42.75" x14ac:dyDescent="0.2">
      <c r="A28" s="14" t="s">
        <v>101</v>
      </c>
      <c r="B28" s="14" t="s">
        <v>94</v>
      </c>
      <c r="C28" s="15" t="s">
        <v>100</v>
      </c>
      <c r="D28" s="15" t="s">
        <v>102</v>
      </c>
    </row>
    <row r="29" spans="1:28" x14ac:dyDescent="0.2">
      <c r="A29" s="16" t="s">
        <v>88</v>
      </c>
      <c r="B29" s="16"/>
      <c r="C29" s="16"/>
      <c r="D29" s="20" t="s">
        <v>117</v>
      </c>
    </row>
    <row r="31" spans="1:28" x14ac:dyDescent="0.2">
      <c r="A31" s="3" t="s">
        <v>104</v>
      </c>
    </row>
    <row r="32" spans="1:28" x14ac:dyDescent="0.2">
      <c r="A32" s="16" t="s">
        <v>122</v>
      </c>
      <c r="B32" s="16" t="s">
        <v>111</v>
      </c>
      <c r="C32" s="16" t="s">
        <v>105</v>
      </c>
    </row>
    <row r="33" spans="1:3" ht="85.5" x14ac:dyDescent="0.2">
      <c r="A33" s="16" t="s">
        <v>106</v>
      </c>
      <c r="B33" s="21" t="s">
        <v>118</v>
      </c>
      <c r="C33" s="22" t="s">
        <v>121</v>
      </c>
    </row>
    <row r="34" spans="1:3" ht="71.25" x14ac:dyDescent="0.2">
      <c r="A34" s="16" t="s">
        <v>107</v>
      </c>
      <c r="B34" s="21" t="s">
        <v>119</v>
      </c>
      <c r="C34" s="22" t="s">
        <v>121</v>
      </c>
    </row>
    <row r="35" spans="1:3" ht="28.5" x14ac:dyDescent="0.2">
      <c r="A35" s="16" t="s">
        <v>108</v>
      </c>
      <c r="B35" s="16" t="s">
        <v>113</v>
      </c>
      <c r="C35" s="22" t="s">
        <v>121</v>
      </c>
    </row>
    <row r="36" spans="1:3" ht="28.5" x14ac:dyDescent="0.2">
      <c r="A36" s="16" t="s">
        <v>82</v>
      </c>
      <c r="B36" s="16" t="s">
        <v>114</v>
      </c>
      <c r="C36" s="22" t="s">
        <v>121</v>
      </c>
    </row>
    <row r="37" spans="1:3" ht="28.5" x14ac:dyDescent="0.2">
      <c r="A37" s="16" t="s">
        <v>109</v>
      </c>
      <c r="B37" s="16" t="s">
        <v>116</v>
      </c>
      <c r="C37" s="22" t="s">
        <v>121</v>
      </c>
    </row>
    <row r="38" spans="1:3" ht="28.5" x14ac:dyDescent="0.2">
      <c r="A38" s="16" t="s">
        <v>110</v>
      </c>
      <c r="B38" s="21" t="s">
        <v>120</v>
      </c>
      <c r="C38" s="22" t="s">
        <v>121</v>
      </c>
    </row>
    <row r="39" spans="1:3" x14ac:dyDescent="0.2">
      <c r="A39" s="16" t="s">
        <v>88</v>
      </c>
      <c r="B39" s="16"/>
      <c r="C39" s="22" t="s">
        <v>103</v>
      </c>
    </row>
  </sheetData>
  <mergeCells count="5">
    <mergeCell ref="B21:G21"/>
    <mergeCell ref="B4:O4"/>
    <mergeCell ref="A3:N3"/>
    <mergeCell ref="B20:G20"/>
    <mergeCell ref="B19:G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M6" sqref="M6"/>
    </sheetView>
  </sheetViews>
  <sheetFormatPr defaultRowHeight="14.25" x14ac:dyDescent="0.2"/>
  <cols>
    <col min="1" max="1" width="14.125" bestFit="1" customWidth="1"/>
    <col min="2" max="2" width="27.375" customWidth="1"/>
    <col min="3" max="3" width="27" customWidth="1"/>
    <col min="4" max="4" width="23.875" customWidth="1"/>
    <col min="5" max="5" width="16.25" bestFit="1" customWidth="1"/>
    <col min="6" max="6" width="11.25" customWidth="1"/>
    <col min="7" max="10" width="10.25" customWidth="1"/>
    <col min="11" max="11" width="14.375" customWidth="1"/>
    <col min="12" max="12" width="19.375" customWidth="1"/>
    <col min="13" max="13" width="24.875" customWidth="1"/>
  </cols>
  <sheetData>
    <row r="1" spans="1:13" x14ac:dyDescent="0.2">
      <c r="A1" t="s">
        <v>0</v>
      </c>
      <c r="B1" t="s">
        <v>133</v>
      </c>
      <c r="C1" t="s">
        <v>134</v>
      </c>
      <c r="D1" t="s">
        <v>135</v>
      </c>
      <c r="E1" t="s">
        <v>19</v>
      </c>
      <c r="F1" t="s">
        <v>20</v>
      </c>
      <c r="G1" t="s">
        <v>21</v>
      </c>
      <c r="H1" t="s">
        <v>136</v>
      </c>
      <c r="I1" t="s">
        <v>137</v>
      </c>
      <c r="J1" t="s">
        <v>138</v>
      </c>
      <c r="K1" t="s">
        <v>22</v>
      </c>
      <c r="L1" t="s">
        <v>76</v>
      </c>
      <c r="M1" t="s">
        <v>79</v>
      </c>
    </row>
    <row r="2" spans="1:13" x14ac:dyDescent="0.2">
      <c r="A2" t="s">
        <v>1</v>
      </c>
      <c r="B2" s="1">
        <v>3.5</v>
      </c>
      <c r="C2" s="1">
        <v>2</v>
      </c>
      <c r="D2" s="1">
        <v>1.5</v>
      </c>
      <c r="E2" s="2">
        <v>7.3000000000000001E-3</v>
      </c>
      <c r="F2" s="2">
        <v>8.0300000000000007E-3</v>
      </c>
      <c r="G2" s="2">
        <v>8.7600000000000004E-3</v>
      </c>
      <c r="H2" s="2"/>
      <c r="I2" s="2"/>
      <c r="J2" s="2"/>
      <c r="K2" s="2">
        <v>0.4</v>
      </c>
      <c r="L2" s="1" t="s">
        <v>75</v>
      </c>
      <c r="M2" s="1"/>
    </row>
    <row r="3" spans="1:13" x14ac:dyDescent="0.2">
      <c r="A3" t="s">
        <v>2</v>
      </c>
      <c r="B3" s="1">
        <v>3.2006215788484838</v>
      </c>
      <c r="C3" s="1">
        <v>1.6003107894242419</v>
      </c>
      <c r="D3" s="1">
        <v>1.5</v>
      </c>
      <c r="E3" s="2">
        <v>2.8E-3</v>
      </c>
      <c r="F3" s="2">
        <v>3.0800000000000003E-3</v>
      </c>
      <c r="G3" s="2">
        <v>3.3599999999999997E-3</v>
      </c>
      <c r="H3" s="2"/>
      <c r="I3" s="2"/>
      <c r="J3" s="2"/>
      <c r="K3" s="2">
        <v>0.6</v>
      </c>
      <c r="L3" s="1" t="s">
        <v>75</v>
      </c>
      <c r="M3" s="1"/>
    </row>
    <row r="4" spans="1:13" x14ac:dyDescent="0.2">
      <c r="A4" t="s">
        <v>3</v>
      </c>
      <c r="B4" s="1">
        <v>4</v>
      </c>
      <c r="C4" s="1">
        <v>2.5</v>
      </c>
      <c r="D4" s="1">
        <v>2</v>
      </c>
      <c r="E4" s="2">
        <v>2E-3</v>
      </c>
      <c r="F4" s="2">
        <v>2.2000000000000001E-3</v>
      </c>
      <c r="G4" s="2">
        <v>2.3999999999999998E-3</v>
      </c>
      <c r="H4" s="2"/>
      <c r="I4" s="2"/>
      <c r="J4" s="2"/>
      <c r="K4" s="2">
        <v>0.4</v>
      </c>
      <c r="L4" s="1" t="s">
        <v>75</v>
      </c>
      <c r="M4" s="1"/>
    </row>
    <row r="5" spans="1:13" x14ac:dyDescent="0.2">
      <c r="A5" t="s">
        <v>4</v>
      </c>
      <c r="B5" s="1">
        <v>4</v>
      </c>
      <c r="C5" s="1">
        <v>1</v>
      </c>
      <c r="D5" s="1">
        <v>2</v>
      </c>
      <c r="E5" s="2">
        <v>5.4999999999999997E-3</v>
      </c>
      <c r="F5" s="2">
        <v>6.0499999999999998E-3</v>
      </c>
      <c r="G5" s="2">
        <v>6.5999999999999991E-3</v>
      </c>
      <c r="H5" s="2"/>
      <c r="I5" s="2"/>
      <c r="J5" s="2"/>
      <c r="K5" s="2">
        <v>0</v>
      </c>
      <c r="L5" s="1" t="s">
        <v>75</v>
      </c>
      <c r="M5" s="1"/>
    </row>
    <row r="6" spans="1:13" x14ac:dyDescent="0.2">
      <c r="A6" t="s">
        <v>15</v>
      </c>
      <c r="B6" s="1">
        <v>3.8473451143683839</v>
      </c>
      <c r="C6" s="1">
        <v>1</v>
      </c>
      <c r="D6" s="1">
        <v>2</v>
      </c>
      <c r="E6" s="2">
        <v>4.4999999999999997E-3</v>
      </c>
      <c r="F6" s="2">
        <v>4.9500000000000004E-3</v>
      </c>
      <c r="G6" s="2">
        <v>5.3999999999999994E-3</v>
      </c>
      <c r="H6" s="2"/>
      <c r="I6" s="2"/>
      <c r="J6" s="2"/>
      <c r="K6" s="2">
        <v>0</v>
      </c>
      <c r="L6" s="1" t="s">
        <v>75</v>
      </c>
      <c r="M6" s="1"/>
    </row>
    <row r="7" spans="1:13" x14ac:dyDescent="0.2">
      <c r="A7" t="s">
        <v>5</v>
      </c>
      <c r="B7" s="1">
        <v>3.9687294060721348</v>
      </c>
      <c r="C7" s="1">
        <v>1</v>
      </c>
      <c r="D7" s="1">
        <v>2</v>
      </c>
      <c r="E7" s="2">
        <v>2E-3</v>
      </c>
      <c r="F7" s="2">
        <v>2.2000000000000001E-3</v>
      </c>
      <c r="G7" s="2">
        <v>2.3999999999999998E-3</v>
      </c>
      <c r="H7" s="2"/>
      <c r="I7" s="2"/>
      <c r="J7" s="2"/>
      <c r="K7" s="2">
        <v>0</v>
      </c>
      <c r="L7" s="1" t="s">
        <v>74</v>
      </c>
      <c r="M7" s="1"/>
    </row>
    <row r="8" spans="1:13" x14ac:dyDescent="0.2">
      <c r="A8" t="s">
        <v>6</v>
      </c>
      <c r="B8" s="1">
        <v>3.5066170779678454</v>
      </c>
      <c r="C8" s="1">
        <v>2.5</v>
      </c>
      <c r="D8" s="1">
        <v>2</v>
      </c>
      <c r="E8" s="2">
        <v>6.4999999999999997E-3</v>
      </c>
      <c r="F8" s="2">
        <v>7.1500000000000001E-3</v>
      </c>
      <c r="G8" s="2">
        <v>7.7999999999999996E-3</v>
      </c>
      <c r="H8" s="2"/>
      <c r="I8" s="2"/>
      <c r="J8" s="2"/>
      <c r="K8" s="2">
        <v>0.6</v>
      </c>
      <c r="L8" s="1" t="s">
        <v>75</v>
      </c>
      <c r="M8" s="1"/>
    </row>
    <row r="9" spans="1:13" x14ac:dyDescent="0.2">
      <c r="A9" t="s">
        <v>7</v>
      </c>
      <c r="B9" s="1">
        <v>3.4441471337608682</v>
      </c>
      <c r="C9" s="1">
        <v>1</v>
      </c>
      <c r="D9" s="1">
        <v>2</v>
      </c>
      <c r="E9" s="2">
        <v>2.5000000000000001E-3</v>
      </c>
      <c r="F9" s="2">
        <v>2.7500000000000003E-3</v>
      </c>
      <c r="G9" s="2">
        <v>3.0000000000000001E-3</v>
      </c>
      <c r="H9" s="2"/>
      <c r="I9" s="2"/>
      <c r="J9" s="2"/>
      <c r="K9" s="2">
        <v>0</v>
      </c>
      <c r="L9" s="1" t="s">
        <v>74</v>
      </c>
      <c r="M9" s="1"/>
    </row>
    <row r="10" spans="1:13" x14ac:dyDescent="0.2">
      <c r="A10" t="s">
        <v>8</v>
      </c>
      <c r="B10" s="1">
        <v>3.5119258169902143</v>
      </c>
      <c r="C10" s="1">
        <v>1.7559629084951072</v>
      </c>
      <c r="D10" s="1">
        <v>1.5</v>
      </c>
      <c r="E10" s="2">
        <v>2.8999999999999998E-3</v>
      </c>
      <c r="F10" s="2">
        <v>3.1900000000000001E-3</v>
      </c>
      <c r="G10" s="2">
        <v>3.4799999999999996E-3</v>
      </c>
      <c r="H10" s="2"/>
      <c r="I10" s="2"/>
      <c r="J10" s="2"/>
      <c r="K10" s="2">
        <v>0.6</v>
      </c>
      <c r="L10" s="1" t="s">
        <v>74</v>
      </c>
      <c r="M10" s="1"/>
    </row>
    <row r="11" spans="1:13" x14ac:dyDescent="0.2">
      <c r="A11" t="s">
        <v>9</v>
      </c>
      <c r="B11" s="1">
        <v>3.815911565735675</v>
      </c>
      <c r="C11" s="1">
        <v>1.7056888054478749</v>
      </c>
      <c r="D11" s="1">
        <v>1.5</v>
      </c>
      <c r="E11" s="2">
        <v>3.3E-3</v>
      </c>
      <c r="F11" s="2">
        <v>3.6300000000000004E-3</v>
      </c>
      <c r="G11" s="2">
        <v>3.96E-3</v>
      </c>
      <c r="H11" s="2"/>
      <c r="I11" s="2"/>
      <c r="J11" s="2"/>
      <c r="K11" s="2">
        <v>0.4</v>
      </c>
      <c r="L11" s="1" t="s">
        <v>75</v>
      </c>
      <c r="M11" s="1"/>
    </row>
    <row r="12" spans="1:13" x14ac:dyDescent="0.2">
      <c r="A12" t="s">
        <v>10</v>
      </c>
      <c r="B12" s="1">
        <v>3.1211735254728126</v>
      </c>
      <c r="C12" s="1">
        <v>1.5605867627364063</v>
      </c>
      <c r="D12" s="1">
        <v>1.5</v>
      </c>
      <c r="E12" s="2">
        <v>3.5999999999999999E-3</v>
      </c>
      <c r="F12" s="2">
        <v>3.96E-3</v>
      </c>
      <c r="G12" s="2">
        <v>4.3200000000000001E-3</v>
      </c>
      <c r="H12" s="2"/>
      <c r="I12" s="2"/>
      <c r="J12" s="2"/>
      <c r="K12" s="2">
        <v>0.6</v>
      </c>
      <c r="L12" s="1" t="s">
        <v>75</v>
      </c>
      <c r="M12" s="1"/>
    </row>
    <row r="13" spans="1:13" x14ac:dyDescent="0.2">
      <c r="A13" t="s">
        <v>11</v>
      </c>
      <c r="B13" s="1">
        <v>3.8813959042834418</v>
      </c>
      <c r="C13" s="1">
        <v>1</v>
      </c>
      <c r="D13" s="1">
        <v>1.5</v>
      </c>
      <c r="E13" s="2">
        <v>4.1999999999999997E-3</v>
      </c>
      <c r="F13" s="2">
        <v>4.62E-3</v>
      </c>
      <c r="G13" s="2">
        <v>5.0399999999999993E-3</v>
      </c>
      <c r="H13" s="2"/>
      <c r="I13" s="2"/>
      <c r="J13" s="2"/>
      <c r="K13" s="2">
        <v>0</v>
      </c>
      <c r="L13" s="1" t="s">
        <v>74</v>
      </c>
      <c r="M13" s="1"/>
    </row>
    <row r="14" spans="1:13" x14ac:dyDescent="0.2">
      <c r="A14" t="s">
        <v>12</v>
      </c>
      <c r="B14" s="1">
        <v>3.0350721868390798</v>
      </c>
      <c r="C14" s="1">
        <v>1</v>
      </c>
      <c r="D14" s="1">
        <v>1.5</v>
      </c>
      <c r="E14" s="2">
        <v>6.3E-3</v>
      </c>
      <c r="F14" s="2">
        <v>6.9300000000000004E-3</v>
      </c>
      <c r="G14" s="2">
        <v>7.5599999999999999E-3</v>
      </c>
      <c r="H14" s="2"/>
      <c r="I14" s="2"/>
      <c r="J14" s="2"/>
      <c r="K14" s="2">
        <v>0</v>
      </c>
      <c r="L14" s="1" t="s">
        <v>77</v>
      </c>
      <c r="M14" s="1"/>
    </row>
    <row r="15" spans="1:13" x14ac:dyDescent="0.2">
      <c r="A15" t="s">
        <v>13</v>
      </c>
      <c r="B15" s="1">
        <v>2.9339031139444436</v>
      </c>
      <c r="C15" s="1">
        <v>1.9559354092962957</v>
      </c>
      <c r="D15" s="1">
        <v>1.5</v>
      </c>
      <c r="E15" s="2">
        <v>4.3E-3</v>
      </c>
      <c r="F15" s="2">
        <v>4.7300000000000007E-3</v>
      </c>
      <c r="G15" s="2">
        <v>5.1599999999999997E-3</v>
      </c>
      <c r="H15" s="2"/>
      <c r="I15" s="2"/>
      <c r="J15" s="2"/>
      <c r="K15" s="2">
        <v>0.4</v>
      </c>
      <c r="L15" s="1" t="s">
        <v>75</v>
      </c>
      <c r="M15" s="1"/>
    </row>
    <row r="16" spans="1:13" x14ac:dyDescent="0.2">
      <c r="A16" t="s">
        <v>14</v>
      </c>
      <c r="B16" s="1">
        <v>3.8881625106011217</v>
      </c>
      <c r="C16" s="1">
        <v>2.5</v>
      </c>
      <c r="D16" s="1">
        <v>2</v>
      </c>
      <c r="E16" s="2">
        <v>2E-3</v>
      </c>
      <c r="F16" s="2">
        <v>2.2000000000000001E-3</v>
      </c>
      <c r="G16" s="2">
        <v>2.3999999999999998E-3</v>
      </c>
      <c r="H16" s="2"/>
      <c r="I16" s="2"/>
      <c r="J16" s="2"/>
      <c r="K16" s="2">
        <v>0.4</v>
      </c>
      <c r="L16" s="1" t="str">
        <f>VLOOKUP(表1[[#This Row],[部件]],[1]!表1_468142414242[[部件名称]:[工程师上门等级]],15,0)</f>
        <v>初级</v>
      </c>
      <c r="M16" s="1"/>
    </row>
    <row r="17" spans="1:13" x14ac:dyDescent="0.2">
      <c r="A17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75</v>
      </c>
      <c r="M17" s="1"/>
    </row>
    <row r="18" spans="1:13" x14ac:dyDescent="0.2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75</v>
      </c>
      <c r="M18" s="1"/>
    </row>
    <row r="19" spans="1:13" x14ac:dyDescent="0.2">
      <c r="A19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75</v>
      </c>
      <c r="M19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核算模型</vt:lpstr>
      <vt:lpstr>基础数据参数1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2015-06-05T18:19:34Z</dcterms:created>
  <dcterms:modified xsi:type="dcterms:W3CDTF">2025-03-24T09:22:30Z</dcterms:modified>
</cp:coreProperties>
</file>